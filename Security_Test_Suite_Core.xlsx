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2d1cfbaeec4873" /></Relationships>
</file>

<file path=xl/workbook.xml><?xml version="1.0" encoding="utf-8"?>
<x:workbook xmlns:x="http://schemas.openxmlformats.org/spreadsheetml/2006/main">
  <x:sheets>
    <x:sheet xmlns:r="http://schemas.openxmlformats.org/officeDocument/2006/relationships" name="Dashboard" sheetId="1" r:id="R42f337264a514ec8"/>
    <x:sheet xmlns:r="http://schemas.openxmlformats.org/officeDocument/2006/relationships" name="Test Cases" sheetId="2" r:id="Rc761278ee6644b1d"/>
    <x:sheet xmlns:r="http://schemas.openxmlformats.org/officeDocument/2006/relationships" name="Environment &amp; Setup" sheetId="3" r:id="R108b7ab45b5a4baa"/>
    <x:sheet xmlns:r="http://schemas.openxmlformats.org/officeDocument/2006/relationships" name="Findings Log" sheetId="4" r:id="R31e32c147c494f41"/>
    <x:sheet xmlns:r="http://schemas.openxmlformats.org/officeDocument/2006/relationships" name="References" sheetId="5" r:id="R0053e89093ee4859"/>
    <x:sheet xmlns:r="http://schemas.openxmlformats.org/officeDocument/2006/relationships" name="Start Here" sheetId="6" r:id="R8ea89db1de1c4a5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x:numFmts>
  <x:fonts count="10">
    <x:font>
      <x:sz val="11"/>
      <x:name val="Carlito"/>
    </x:font>
    <x:font>
      <x:b/>
      <x:sz val="16"/>
      <x:color rgb="FFFFFFFF"/>
      <x:name val="Carlito"/>
    </x:font>
    <x:font>
      <x:i/>
      <x:sz val="10"/>
      <x:color rgb="FF29485C"/>
      <x:name val="Carlito"/>
    </x:font>
    <x:font>
      <x:sz val="9"/>
      <x:color rgb="FF526777"/>
      <x:name val="Carlito"/>
    </x:font>
    <x:font>
      <x:b/>
      <x:sz val="10"/>
      <x:color rgb="FFFFFFFF"/>
      <x:name val="Carlito"/>
    </x:font>
    <x:font>
      <x:b/>
      <x:sz val="22"/>
      <x:color rgb="FF12304A"/>
      <x:name val="Carlito"/>
    </x:font>
    <x:font>
      <x:b/>
      <x:sz val="9"/>
      <x:color rgb="FF29485C"/>
      <x:name val="Carlito"/>
    </x:font>
    <x:font>
      <x:b/>
      <x:sz val="16"/>
      <x:color rgb="FF12304A"/>
      <x:name val="Carlito"/>
    </x:font>
    <x:font>
      <x:b/>
      <x:sz val="11"/>
      <x:color rgb="FFFFFFFF"/>
      <x:name val="Carlito"/>
    </x:font>
    <x:font>
      <x:sz val="10"/>
      <x:color rgb="FF7C2D12"/>
      <x:name val="Carlito"/>
    </x:font>
  </x:fonts>
  <x:fills count="10">
    <x:fill>
      <x:patternFill patternType="none"/>
    </x:fill>
    <x:fill>
      <x:patternFill patternType="gray125"/>
    </x:fill>
    <x:fill>
      <x:patternFill patternType="solid">
        <x:fgColor rgb="FF12304A"/>
      </x:patternFill>
    </x:fill>
    <x:fill>
      <x:patternFill patternType="solid">
        <x:fgColor rgb="FFE8F1F5"/>
      </x:patternFill>
    </x:fill>
    <x:fill>
      <x:patternFill patternType="solid">
        <x:fgColor rgb="FF0F766E"/>
      </x:patternFill>
    </x:fill>
    <x:fill>
      <x:patternFill patternType="solid">
        <x:fgColor rgb="FFF0F7F7"/>
      </x:patternFill>
    </x:fill>
    <x:fill>
      <x:patternFill patternType="solid">
        <x:fgColor rgb="FFDCE9EF"/>
      </x:patternFill>
    </x:fill>
    <x:fill>
      <x:patternFill patternType="solid">
        <x:fgColor rgb="FFF7FAFC"/>
      </x:patternFill>
    </x:fill>
    <x:fill>
      <x:patternFill patternType="solid">
        <x:fgColor rgb="FF9A3412"/>
      </x:patternFill>
    </x:fill>
    <x:fill>
      <x:patternFill patternType="solid">
        <x:fgColor rgb="FFFFF7ED"/>
      </x:patternFill>
    </x:fill>
  </x:fills>
  <x:borders count="6">
    <x:border/>
    <x:border/>
    <x:border/>
    <x:border/>
    <x:border/>
    <x:border/>
  </x:borders>
  <x:cellStyleXfs count="1">
    <x:xf numFmtId="0" fontId="0" fillId="0" borderId="0"/>
  </x:cellStyleXfs>
  <x:cellXfs count="10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x:xf numFmtId="0" fontId="3"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horizontal="center" wrapText="1"/>
    </x:xf>
    <x:xf numFmtId="0" fontId="5" fillId="5" borderId="1" xfId="0" applyNumberFormat="1" applyFont="1" applyFill="1" applyBorder="1" applyAlignment="1">
      <x:alignment horizontal="center" vertical="center" wrapText="1"/>
    </x:xf>
    <x:xf numFmtId="200" fontId="5" fillId="5" borderId="0" xfId="0" applyNumberFormat="1" applyFont="1" applyFill="1" applyBorder="1" applyAlignment="1">
      <x:alignment horizontal="center" vertical="center" wrapText="1"/>
    </x:xf>
    <x:xf numFmtId="200" fontId="5" fillId="5" borderId="1"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center" wrapText="1"/>
    </x:xf>
    <x:xf numFmtId="0" fontId="6" fillId="6" borderId="0" xfId="0" applyNumberFormat="1" applyFont="1" applyFill="1" applyBorder="1" applyAlignment="1">
      <x:alignment horizontal="center"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horizontal="center" wrapText="1"/>
    </x:xf>
    <x:xf numFmtId="0" fontId="6" fillId="6" borderId="1" xfId="0" applyNumberFormat="1" applyFont="1" applyFill="1" applyBorder="1" applyAlignment="1">
      <x:alignment horizontal="center" vertical="center"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horizontal="center"/>
    </x:xf>
    <x:xf numFmtId="0" fontId="7" fillId="7" borderId="0" xfId="0" applyNumberFormat="1" applyFont="1" applyFill="1" applyBorder="1" applyAlignment="1">
      <x:alignment horizontal="center" vertical="center"/>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horizontal="center"/>
    </x:xf>
    <x:xf numFmtId="0" fontId="7" fillId="7" borderId="1" xfId="0" applyNumberFormat="1" applyFont="1" applyFill="1" applyBorder="1" applyAlignment="1">
      <x:alignment horizontal="center" vertical="center"/>
    </x:xf>
    <x:xf numFmtId="0" fontId="8" fillId="2" borderId="0" xfId="0" applyNumberFormat="1" applyFont="1" applyFill="1" applyBorder="1"/>
    <x:xf numFmtId="0" fontId="8" fillId="2" borderId="0" xfId="0" applyNumberFormat="1" applyFont="1" applyFill="1" applyBorder="1" applyAlignment="1">
      <x:alignment vertical="center"/>
    </x:xf>
    <x:xf numFmtId="0" fontId="8" fillId="2" borderId="1" xfId="0" applyNumberFormat="1" applyFont="1" applyFill="1" applyBorder="1"/>
    <x:xf numFmtId="0" fontId="8" fillId="2"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horizontal="center"/>
    </x:xf>
    <x:xf numFmtId="0" fontId="0" fillId="8" borderId="1" xfId="0" applyNumberFormat="1" applyFont="1" applyFill="1" applyBorder="1"/>
    <x:xf numFmtId="0" fontId="8" fillId="8" borderId="1" xfId="0" applyNumberFormat="1" applyFont="1" applyFill="1" applyBorder="1"/>
    <x:xf numFmtId="0" fontId="8" fillId="8" borderId="1" xfId="0" applyNumberFormat="1" applyFont="1" applyFill="1" applyBorder="1" applyAlignment="1">
      <x:alignment horizontal="center"/>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0" fontId="9" fillId="9" borderId="0" xfId="0" applyNumberFormat="1" applyFont="1" applyFill="1" applyBorder="1" applyAlignment="1">
      <x:alignment vertical="center" wrapText="1"/>
    </x:xf>
    <x:xf numFmtId="0" fontId="0" fillId="9" borderId="1" xfId="0" applyNumberFormat="1" applyFont="1" applyFill="1" applyBorder="1"/>
    <x:xf numFmtId="0" fontId="9" fillId="9" borderId="1" xfId="0" applyNumberFormat="1" applyFont="1" applyFill="1" applyBorder="1"/>
    <x:xf numFmtId="0" fontId="9" fillId="9" borderId="1" xfId="0" applyNumberFormat="1" applyFont="1" applyFill="1" applyBorder="1" applyAlignment="1">
      <x:alignment wrapText="1"/>
    </x:xf>
    <x:xf numFmtId="0" fontId="9" fillId="9"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0" borderId="4" xfId="0" applyNumberFormat="1" applyFont="1" applyFill="1" applyBorder="1" applyAlignment="1">
      <x:alignment vertical="top" wrapText="1"/>
    </x:xf>
    <x:xf numFmtId="201"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horizontal="center" wrapText="1"/>
    </x:xf>
    <x:xf numFmtId="0" fontId="4" fillId="8" borderId="0" xfId="0" applyNumberFormat="1" applyFont="1" applyFill="1" applyBorder="1" applyAlignment="1">
      <x:alignment horizontal="center" vertical="center" wrapText="1"/>
    </x:xf>
    <x:xf numFmtId="0" fontId="4" fillId="8" borderId="1" xfId="0" applyNumberFormat="1" applyFont="1" applyFill="1" applyBorder="1"/>
    <x:xf numFmtId="0" fontId="4" fillId="8" borderId="1" xfId="0" applyNumberFormat="1" applyFont="1" applyFill="1" applyBorder="1" applyAlignment="1">
      <x:alignment wrapText="1"/>
    </x:xf>
    <x:xf numFmtId="0" fontId="4" fillId="8" borderId="1" xfId="0" applyNumberFormat="1" applyFont="1" applyFill="1" applyBorder="1" applyAlignment="1">
      <x:alignment horizontal="center" wrapText="1"/>
    </x:xf>
    <x:xf numFmtId="0" fontId="4" fillId="8" borderId="1" xfId="0" applyNumberFormat="1" applyFont="1" applyFill="1" applyBorder="1" applyAlignment="1">
      <x:alignment horizontal="center" vertical="center" wrapText="1"/>
    </x:xf>
  </x:cellXfs>
  <x:cellStyles count="1">
    <x:cellStyle name="Normal" xfId="0"/>
  </x:cellStyles>
  <x:dxfs count="10">
    <x:dxf>
      <x:font>
        <x:b/>
        <x:color rgb="FF991B1B"/>
      </x:font>
      <x:fill>
        <x:patternFill>
          <x:bgColor rgb="FFFEE2E2"/>
        </x:patternFill>
      </x:fill>
    </x:dxf>
    <x:dxf>
      <x:font>
        <x:b/>
        <x:color rgb="FF9A3412"/>
      </x:font>
      <x:fill>
        <x:patternFill>
          <x:bgColor rgb="FFFFEDD5"/>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D4ED8"/>
      </x:font>
      <x:fill>
        <x:patternFill>
          <x:bgColor rgb="FFDBEAFE"/>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CACA"/>
        </x:patternFill>
      </x:fill>
    </x:dxf>
    <x:dxf>
      <x:font>
        <x:b/>
        <x:color rgb="FF9A3412"/>
      </x:font>
      <x:fill>
        <x:patternFill>
          <x:bgColor rgb="FFFFED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b8a6cb770e4154" /><Relationship Type="http://schemas.openxmlformats.org/officeDocument/2006/relationships/theme" Target="/xl/theme/theme1.xml" Id="R9669933056534446" /><Relationship Type="http://schemas.openxmlformats.org/officeDocument/2006/relationships/sharedStrings" Target="/xl/sharedStrings.xml" Id="R7eca505429e848e1" /><Relationship Type="http://schemas.openxmlformats.org/officeDocument/2006/relationships/worksheet" Target="/xl/worksheets/sheet1.xml" Id="R42f337264a514ec8" /><Relationship Type="http://schemas.openxmlformats.org/officeDocument/2006/relationships/worksheet" Target="/xl/worksheets/sheet2.xml" Id="Rc761278ee6644b1d" /><Relationship Type="http://schemas.openxmlformats.org/officeDocument/2006/relationships/worksheet" Target="/xl/worksheets/sheet3.xml" Id="R108b7ab45b5a4baa" /><Relationship Type="http://schemas.openxmlformats.org/officeDocument/2006/relationships/worksheet" Target="/xl/worksheets/sheet4.xml" Id="R31e32c147c494f41" /><Relationship Type="http://schemas.openxmlformats.org/officeDocument/2006/relationships/worksheet" Target="/xl/worksheets/sheet5.xml" Id="R0053e89093ee4859" /><Relationship Type="http://schemas.openxmlformats.org/officeDocument/2006/relationships/worksheet" Target="/xl/worksheets/sheet6.xml" Id="R8ea89db1de1c4a53" /></Relationships>
</file>

<file path=xl/tables/table1.xml><?xml version="1.0" encoding="utf-8"?>
<x:table xmlns:x="http://schemas.openxmlformats.org/spreadsheetml/2006/main" id="1" name="SecurityTestCases" displayName="SecurityTestCases" ref="A4:Q42" headerRowCount="1" totalsRowCount="0" totalsRowShown="0">
  <x:tableColumns count="17">
    <x:tableColumn id="1" name="Test Case ID"/>
    <x:tableColumn id="2" name="Priority"/>
    <x:tableColumn id="3" name="Category"/>
    <x:tableColumn id="4" name="Component"/>
    <x:tableColumn id="5" name="Scenario"/>
    <x:tableColumn id="6" name="Objective / Risk"/>
    <x:tableColumn id="7" name="Preconditions"/>
    <x:tableColumn id="8" name="Test Steps"/>
    <x:tableColumn id="9" name="Expected Result"/>
    <x:tableColumn id="10" name="Status"/>
    <x:tableColumn id="11" name="Actual Result"/>
    <x:tableColumn id="12" name="Finding Severity"/>
    <x:tableColumn id="13" name="Evidence / Link"/>
    <x:tableColumn id="14" name="Defect ID"/>
    <x:tableColumn id="15" name="Tester"/>
    <x:tableColumn id="16" name="Execution Date"/>
    <x:tableColumn id="17" name="Notes"/>
  </x:tableColumns>
  <x:tableStyleInfo name="TableStyleMedium2" showFirstColumn="0" showLastColumn="0" showRowStripes="1" showColumnStripes="0"/>
</x:table>
</file>

<file path=xl/tables/table2.xml><?xml version="1.0" encoding="utf-8"?>
<x:table xmlns:x="http://schemas.openxmlformats.org/spreadsheetml/2006/main" id="2" name="EnvironmentChecklist" displayName="EnvironmentChecklist" ref="A4:F19" headerRowCount="1" totalsRowCount="0" totalsRowShown="0">
  <x:tableColumns count="6">
    <x:tableColumn id="1" name="ID"/>
    <x:tableColumn id="2" name="Area"/>
    <x:tableColumn id="3" name="Readiness / Safety Check"/>
    <x:tableColumn id="4" name="Completion Status"/>
    <x:tableColumn id="5" name="Evidence / Notes"/>
    <x:tableColumn id="6" name="Owner"/>
  </x:tableColumns>
  <x:tableStyleInfo name="TableStyleMedium2" showFirstColumn="0" showLastColumn="0" showRowStripes="1" showColumnStripes="0"/>
</x:table>
</file>

<file path=xl/tables/table3.xml><?xml version="1.0" encoding="utf-8"?>
<x:table xmlns:x="http://schemas.openxmlformats.org/spreadsheetml/2006/main" id="3" name="SecurityFindings" displayName="SecurityFindings" ref="A4:N34" headerRowCount="1" totalsRowCount="0" totalsRowShown="0">
  <x:tableColumns count="14">
    <x:tableColumn id="1" name="Finding ID"/>
    <x:tableColumn id="2" name="Related Test Case ID"/>
    <x:tableColumn id="3" name="Title"/>
    <x:tableColumn id="4" name="Affected Component / Endpoint"/>
    <x:tableColumn id="5" name="Description &amp; Impact"/>
    <x:tableColumn id="6" name="Severity"/>
    <x:tableColumn id="7" name="Likelihood"/>
    <x:tableColumn id="8" name="Status"/>
    <x:tableColumn id="9" name="Remediation / Recommendation"/>
    <x:tableColumn id="10" name="Owner"/>
    <x:tableColumn id="11" name="Target Date"/>
    <x:tableColumn id="12" name="Evidence Reference"/>
    <x:tableColumn id="13" name="Retest Result"/>
    <x:tableColumn id="14" name="Notes"/>
  </x:tableColumns>
  <x:tableStyleInfo name="TableStyleMedium2" showFirstColumn="0" showLastColumn="0" showRowStripes="1" showColumnStripes="0"/>
</x:table>
</file>

<file path=xl/tables/table4.xml><?xml version="1.0" encoding="utf-8"?>
<x:table xmlns:x="http://schemas.openxmlformats.org/spreadsheetml/2006/main" id="4" name="SecurityReferences" displayName="SecurityReferences" ref="A4:C10" headerRowCount="1" totalsRowCount="0" totalsRowShown="0">
  <x:tableColumns count="3">
    <x:tableColumn id="1" name="Reference"/>
    <x:tableColumn id="2" name="URL"/>
    <x:tableColumn id="3" name="Relevance to this sui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93d1fd0445415d" /></Relationships>
</file>

<file path=xl/worksheets/_rels/sheet3.xml.rels>&#65279;<?xml version="1.0" encoding="utf-8"?><Relationships xmlns="http://schemas.openxmlformats.org/package/2006/relationships"><Relationship Type="http://schemas.openxmlformats.org/officeDocument/2006/relationships/table" Target="/xl/tables/table2.xml" Id="R639b2af4c2654e7c" /></Relationships>
</file>

<file path=xl/worksheets/_rels/sheet4.xml.rels>&#65279;<?xml version="1.0" encoding="utf-8"?><Relationships xmlns="http://schemas.openxmlformats.org/package/2006/relationships"><Relationship Type="http://schemas.openxmlformats.org/officeDocument/2006/relationships/table" Target="/xl/tables/table3.xml" Id="R33f18dc4ff9b4945" /></Relationships>
</file>

<file path=xl/worksheets/_rels/sheet5.xml.rels>&#65279;<?xml version="1.0" encoding="utf-8"?><Relationships xmlns="http://schemas.openxmlformats.org/package/2006/relationships"><Relationship Type="http://schemas.openxmlformats.org/officeDocument/2006/relationships/table" Target="/xl/tables/table4.xml" Id="Rff339b4be27b487b"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5" hidden="0" customWidth="1"/>
    <x:col min="2" max="2" width="13" hidden="0" customWidth="1"/>
    <x:col min="3" max="3" width="13" hidden="0" customWidth="1"/>
    <x:col min="4" max="4" width="13" hidden="0" customWidth="1"/>
    <x:col min="5" max="5" width="13" hidden="0" customWidth="1"/>
    <x:col min="6" max="6" width="13" hidden="0" customWidth="1"/>
    <x:col min="7" max="7" width="15" hidden="0" customWidth="1"/>
    <x:col min="8" max="8" width="15" hidden="0" customWidth="1"/>
    <x:col min="9" max="9" width="15" hidden="0" customWidth="1"/>
    <x:col min="10" max="10" width="15" hidden="0" customWidth="1"/>
  </x:cols>
  <x:sheetData>
    <x:row r="1">
      <x:c r="A1" s="6" t="str">
        <x:v>ROSH CONTROL TOWER | SECURITY TEST SUITE</x:v>
      </x:c>
      <x:c r="B1" s="6"/>
      <x:c r="C1" s="6"/>
      <x:c r="D1" s="6"/>
      <x:c r="E1" s="6"/>
      <x:c r="F1" s="6"/>
      <x:c r="G1" s="6"/>
      <x:c r="H1" s="6"/>
      <x:c r="I1" s="6"/>
      <x:c r="J1" s="6"/>
    </x:row>
    <x:row r="2" ht="28" customHeight="1">
      <x:c r="A2" s="15" t="str">
        <x:v>Execution dashboard · Tailscale-protected UI, APIs, MQTT telemetry, bot identity, and video streaming</x:v>
      </x:c>
      <x:c r="B2" s="15"/>
      <x:c r="C2" s="15"/>
      <x:c r="D2" s="15"/>
      <x:c r="E2" s="15"/>
      <x:c r="F2" s="15"/>
      <x:c r="G2" s="15"/>
      <x:c r="H2" s="15"/>
      <x:c r="I2" s="15"/>
      <x:c r="J2" s="15"/>
    </x:row>
    <x:row r="3" ht="27" customHeight="1">
      <x:c r="A3" s="21" t="str">
        <x:v>Update Status, Actual Result, Finding Severity, Tester, Execution Date, and Evidence in the Test Cases sheet. Metrics recalculate from recorded status values.</x:v>
      </x:c>
      <x:c r="B3" s="21"/>
      <x:c r="C3" s="21"/>
      <x:c r="D3" s="21"/>
      <x:c r="E3" s="21"/>
      <x:c r="F3" s="21"/>
      <x:c r="G3" s="21"/>
      <x:c r="H3" s="21"/>
      <x:c r="I3" s="21"/>
      <x:c r="J3" s="21"/>
    </x:row>
    <x:row r="5" ht="24" customHeight="1">
      <x:c r="A5" s="28" t="str">
        <x:v>TOTAL TEST CASES</x:v>
      </x:c>
      <x:c r="B5" s="28"/>
      <x:c r="C5" s="28" t="str">
        <x:v>EXECUTED</x:v>
      </x:c>
      <x:c r="D5" s="28"/>
      <x:c r="E5" s="28" t="str">
        <x:v>PASSED</x:v>
      </x:c>
      <x:c r="F5" s="28"/>
      <x:c r="G5" s="28" t="str">
        <x:v>FAILED</x:v>
      </x:c>
      <x:c r="H5" s="28"/>
      <x:c r="I5" s="28" t="str">
        <x:v>PASS RATE</x:v>
      </x:c>
      <x:c r="J5" s="28"/>
    </x:row>
    <x:row r="6">
      <x:c r="A6" s="38" t="n">
        <x:f>COUNTA('Test Cases'!$A$5:$A$25)</x:f>
        <x:v>21</x:v>
      </x:c>
      <x:c r="B6" s="38"/>
      <x:c r="C6" s="38" t="n">
        <x:f>COUNTIF('Test Cases'!$J$5:$J$25,"Passed")+COUNTIF('Test Cases'!$J$5:$J$25,"Failed")+COUNTIF('Test Cases'!$J$5:$J$25,"Blocked")+COUNTIF('Test Cases'!$J$5:$J$25,"Needs Review")+COUNTIF('Test Cases'!$J$5:$J$25,"Not Applicable")</x:f>
        <x:v>0</x:v>
      </x:c>
      <x:c r="D6" s="38"/>
      <x:c r="E6" s="38" t="n">
        <x:f>COUNTIF('Test Cases'!$J$5:$J$25,"Passed")</x:f>
        <x:v>0</x:v>
      </x:c>
      <x:c r="F6" s="38"/>
      <x:c r="G6" s="38" t="n">
        <x:f>COUNTIF('Test Cases'!$J$5:$J$25,"Failed")</x:f>
        <x:v>0</x:v>
      </x:c>
      <x:c r="H6" s="38"/>
      <x:c r="I6" s="44" t="n">
        <x:f>IFERROR(E6/(E6+G6),0)</x:f>
        <x:v>0</x:v>
      </x:c>
      <x:c r="J6" s="44"/>
    </x:row>
    <x:row r="7">
      <x:c r="A7" s="38"/>
      <x:c r="B7" s="38"/>
      <x:c r="C7" s="38"/>
      <x:c r="D7" s="38"/>
      <x:c r="E7" s="38"/>
      <x:c r="F7" s="38"/>
      <x:c r="G7" s="38"/>
      <x:c r="H7" s="38"/>
      <x:c r="I7" s="44"/>
      <x:c r="J7" s="44"/>
    </x:row>
    <x:row r="9" ht="28" customHeight="1">
      <x:c r="A9" s="50" t="str">
        <x:v>P0 TOTAL</x:v>
      </x:c>
      <x:c r="B9" s="50"/>
      <x:c r="C9" s="50" t="str">
        <x:v>P0 PASSED</x:v>
      </x:c>
      <x:c r="D9" s="50"/>
      <x:c r="E9" s="50" t="str">
        <x:v>P0 OPEN / NOT PASSING</x:v>
      </x:c>
      <x:c r="F9" s="50"/>
      <x:c r="G9" s="50" t="str">
        <x:v>P1 TOTAL</x:v>
      </x:c>
      <x:c r="H9" s="50"/>
      <x:c r="I9" s="50" t="str">
        <x:v>NOT STARTED</x:v>
      </x:c>
      <x:c r="J9" s="50"/>
    </x:row>
    <x:row r="10">
      <x:c r="A10" s="59" t="n">
        <x:f>COUNTIF('Test Cases'!$B$5:$B$25,"P0")</x:f>
        <x:v>15</x:v>
      </x:c>
      <x:c r="B10" s="59"/>
      <x:c r="C10" s="59" t="n">
        <x:f>COUNTIFS('Test Cases'!$B$5:$B$25,"P0",'Test Cases'!$J$5:$J$25,"Passed")</x:f>
        <x:v>0</x:v>
      </x:c>
      <x:c r="D10" s="59"/>
      <x:c r="E10" s="59" t="n">
        <x:f>COUNTIFS('Test Cases'!$B$5:$B$25,"P0",'Test Cases'!$J$5:$J$25,"&lt;&gt;Passed",'Test Cases'!$J$5:$J$25,"&lt;&gt;Not Applicable")</x:f>
        <x:v>15</x:v>
      </x:c>
      <x:c r="F10" s="59"/>
      <x:c r="G10" s="59" t="n">
        <x:f>COUNTIF('Test Cases'!$B$5:$B$25,"P1")</x:f>
        <x:v>6</x:v>
      </x:c>
      <x:c r="H10" s="59"/>
      <x:c r="I10" s="59" t="n">
        <x:f>COUNTIF('Test Cases'!$J$5:$J$25,"Not Started")</x:f>
        <x:v>21</x:v>
      </x:c>
      <x:c r="J10" s="59"/>
    </x:row>
    <x:row r="13" ht="25" customHeight="1">
      <x:c r="A13" s="65" t="str">
        <x:v>EXECUTION BY SECURITY CATEGORY</x:v>
      </x:c>
      <x:c r="B13" s="65"/>
      <x:c r="C13" s="65"/>
      <x:c r="D13" s="65"/>
      <x:c r="E13" s="65"/>
      <x:c r="F13" s="65"/>
      <x:c r="H13" s="65" t="str">
        <x:v>STATUS LEGEND</x:v>
      </x:c>
      <x:c r="I13" s="65"/>
      <x:c r="J13" s="65"/>
    </x:row>
    <x:row r="14" ht="30" customHeight="1">
      <x:c r="A14" s="28" t="str">
        <x:v>Category</x:v>
      </x:c>
      <x:c r="B14" s="28" t="str">
        <x:v>Total</x:v>
      </x:c>
      <x:c r="C14" s="28" t="str">
        <x:v>Passed</x:v>
      </x:c>
      <x:c r="D14" s="28" t="str">
        <x:v>Failed</x:v>
      </x:c>
      <x:c r="E14" s="28" t="str">
        <x:v>Blocked</x:v>
      </x:c>
      <x:c r="F14" s="28" t="str">
        <x:v>Not Started</x:v>
      </x:c>
      <x:c r="H14" s="68" t="str">
        <x:v>Not Started</x:v>
      </x:c>
      <x:c r="I14" s="68" t="str">
        <x:v>No execution recorded</x:v>
      </x:c>
      <x:c r="J14" s="68" t="str"/>
    </x:row>
    <x:row r="15" ht="30" customHeight="1">
      <x:c r="A15" s="68" t="str">
        <x:v>Network &amp; Tailscale</x:v>
      </x:c>
      <x:c r="B15" s="68" t="n">
        <x:f>COUNTIF('Test Cases'!$C$5:$C$25,A15)</x:f>
        <x:v>3</x:v>
      </x:c>
      <x:c r="C15" s="68" t="n">
        <x:f>COUNTIFS('Test Cases'!$C$5:$C$25,$A15,'Test Cases'!$J$5:$J$25,"Passed")</x:f>
        <x:v>0</x:v>
      </x:c>
      <x:c r="D15" s="68" t="n">
        <x:f>COUNTIFS('Test Cases'!$C$5:$C$25,$A15,'Test Cases'!$J$5:$J$25,"Failed")</x:f>
        <x:v>0</x:v>
      </x:c>
      <x:c r="E15" s="68" t="n">
        <x:f>COUNTIFS('Test Cases'!$C$5:$C$25,$A15,'Test Cases'!$J$5:$J$25,"Blocked")</x:f>
        <x:v>0</x:v>
      </x:c>
      <x:c r="F15" s="68" t="n">
        <x:f>COUNTIFS('Test Cases'!$C$5:$C$25,$A15,'Test Cases'!$J$5:$J$25,"Not Started")</x:f>
        <x:v>3</x:v>
      </x:c>
      <x:c r="H15" s="68" t="str">
        <x:v>In Progress</x:v>
      </x:c>
      <x:c r="I15" s="68" t="str">
        <x:v>Execution has begun</x:v>
      </x:c>
      <x:c r="J15" s="68" t="str"/>
    </x:row>
    <x:row r="16" ht="30" customHeight="1">
      <x:c r="A16" s="68" t="str">
        <x:v>Authentication</x:v>
      </x:c>
      <x:c r="B16" s="68" t="n">
        <x:f>COUNTIF('Test Cases'!$C$5:$C$25,A16)</x:f>
        <x:v>2</x:v>
      </x:c>
      <x:c r="C16" s="68" t="n">
        <x:f>COUNTIFS('Test Cases'!$C$5:$C$25,$A16,'Test Cases'!$J$5:$J$25,"Passed")</x:f>
        <x:v>0</x:v>
      </x:c>
      <x:c r="D16" s="68" t="n">
        <x:f>COUNTIFS('Test Cases'!$C$5:$C$25,$A16,'Test Cases'!$J$5:$J$25,"Failed")</x:f>
        <x:v>0</x:v>
      </x:c>
      <x:c r="E16" s="68" t="n">
        <x:f>COUNTIFS('Test Cases'!$C$5:$C$25,$A16,'Test Cases'!$J$5:$J$25,"Blocked")</x:f>
        <x:v>0</x:v>
      </x:c>
      <x:c r="F16" s="68" t="n">
        <x:f>COUNTIFS('Test Cases'!$C$5:$C$25,$A16,'Test Cases'!$J$5:$J$25,"Not Started")</x:f>
        <x:v>2</x:v>
      </x:c>
      <x:c r="H16" s="68" t="str">
        <x:v>Passed</x:v>
      </x:c>
      <x:c r="I16" s="68" t="str">
        <x:v>Expected control observed</x:v>
      </x:c>
      <x:c r="J16" s="68" t="str"/>
    </x:row>
    <x:row r="17" ht="30" customHeight="1">
      <x:c r="A17" s="68" t="str">
        <x:v>Authorization</x:v>
      </x:c>
      <x:c r="B17" s="68" t="n">
        <x:f>COUNTIF('Test Cases'!$C$5:$C$25,A17)</x:f>
        <x:v>3</x:v>
      </x:c>
      <x:c r="C17" s="68" t="n">
        <x:f>COUNTIFS('Test Cases'!$C$5:$C$25,$A17,'Test Cases'!$J$5:$J$25,"Passed")</x:f>
        <x:v>0</x:v>
      </x:c>
      <x:c r="D17" s="68" t="n">
        <x:f>COUNTIFS('Test Cases'!$C$5:$C$25,$A17,'Test Cases'!$J$5:$J$25,"Failed")</x:f>
        <x:v>0</x:v>
      </x:c>
      <x:c r="E17" s="68" t="n">
        <x:f>COUNTIFS('Test Cases'!$C$5:$C$25,$A17,'Test Cases'!$J$5:$J$25,"Blocked")</x:f>
        <x:v>0</x:v>
      </x:c>
      <x:c r="F17" s="68" t="n">
        <x:f>COUNTIFS('Test Cases'!$C$5:$C$25,$A17,'Test Cases'!$J$5:$J$25,"Not Started")</x:f>
        <x:v>3</x:v>
      </x:c>
      <x:c r="H17" s="68" t="str">
        <x:v>Failed</x:v>
      </x:c>
      <x:c r="I17" s="68" t="str">
        <x:v>Unexpected behavior / finding</x:v>
      </x:c>
      <x:c r="J17" s="68" t="str"/>
    </x:row>
    <x:row r="18" ht="30" customHeight="1">
      <x:c r="A18" s="68" t="str">
        <x:v>MQTT &amp; Telemetry</x:v>
      </x:c>
      <x:c r="B18" s="68" t="n">
        <x:f>COUNTIF('Test Cases'!$C$5:$C$25,A18)</x:f>
        <x:v>4</x:v>
      </x:c>
      <x:c r="C18" s="68" t="n">
        <x:f>COUNTIFS('Test Cases'!$C$5:$C$25,$A18,'Test Cases'!$J$5:$J$25,"Passed")</x:f>
        <x:v>0</x:v>
      </x:c>
      <x:c r="D18" s="68" t="n">
        <x:f>COUNTIFS('Test Cases'!$C$5:$C$25,$A18,'Test Cases'!$J$5:$J$25,"Failed")</x:f>
        <x:v>0</x:v>
      </x:c>
      <x:c r="E18" s="68" t="n">
        <x:f>COUNTIFS('Test Cases'!$C$5:$C$25,$A18,'Test Cases'!$J$5:$J$25,"Blocked")</x:f>
        <x:v>0</x:v>
      </x:c>
      <x:c r="F18" s="68" t="n">
        <x:f>COUNTIFS('Test Cases'!$C$5:$C$25,$A18,'Test Cases'!$J$5:$J$25,"Not Started")</x:f>
        <x:v>4</x:v>
      </x:c>
      <x:c r="H18" s="68" t="str">
        <x:v>Blocked</x:v>
      </x:c>
      <x:c r="I18" s="68" t="str">
        <x:v>Cannot execute due to dependency</x:v>
      </x:c>
      <x:c r="J18" s="68" t="str"/>
    </x:row>
    <x:row r="19" ht="30" customHeight="1">
      <x:c r="A19" s="68" t="str">
        <x:v>Video Streaming</x:v>
      </x:c>
      <x:c r="B19" s="68" t="n">
        <x:f>COUNTIF('Test Cases'!$C$5:$C$25,A19)</x:f>
        <x:v>3</x:v>
      </x:c>
      <x:c r="C19" s="68" t="n">
        <x:f>COUNTIFS('Test Cases'!$C$5:$C$25,$A19,'Test Cases'!$J$5:$J$25,"Passed")</x:f>
        <x:v>0</x:v>
      </x:c>
      <x:c r="D19" s="68" t="n">
        <x:f>COUNTIFS('Test Cases'!$C$5:$C$25,$A19,'Test Cases'!$J$5:$J$25,"Failed")</x:f>
        <x:v>0</x:v>
      </x:c>
      <x:c r="E19" s="68" t="n">
        <x:f>COUNTIFS('Test Cases'!$C$5:$C$25,$A19,'Test Cases'!$J$5:$J$25,"Blocked")</x:f>
        <x:v>0</x:v>
      </x:c>
      <x:c r="F19" s="68" t="n">
        <x:f>COUNTIFS('Test Cases'!$C$5:$C$25,$A19,'Test Cases'!$J$5:$J$25,"Not Started")</x:f>
        <x:v>3</x:v>
      </x:c>
      <x:c r="H19" s="68" t="str">
        <x:v>Needs Review</x:v>
      </x:c>
      <x:c r="I19" s="68" t="str">
        <x:v>Result needs owner/security review</x:v>
      </x:c>
      <x:c r="J19" s="68" t="str"/>
    </x:row>
    <x:row r="20" ht="30" customHeight="1">
      <x:c r="A20" s="68" t="str">
        <x:v>API Security</x:v>
      </x:c>
      <x:c r="B20" s="68" t="n">
        <x:f>COUNTIF('Test Cases'!$C$5:$C$25,A20)</x:f>
        <x:v>1</x:v>
      </x:c>
      <x:c r="C20" s="68" t="n">
        <x:f>COUNTIFS('Test Cases'!$C$5:$C$25,$A20,'Test Cases'!$J$5:$J$25,"Passed")</x:f>
        <x:v>0</x:v>
      </x:c>
      <x:c r="D20" s="68" t="n">
        <x:f>COUNTIFS('Test Cases'!$C$5:$C$25,$A20,'Test Cases'!$J$5:$J$25,"Failed")</x:f>
        <x:v>0</x:v>
      </x:c>
      <x:c r="E20" s="68" t="n">
        <x:f>COUNTIFS('Test Cases'!$C$5:$C$25,$A20,'Test Cases'!$J$5:$J$25,"Blocked")</x:f>
        <x:v>0</x:v>
      </x:c>
      <x:c r="F20" s="68" t="n">
        <x:f>COUNTIFS('Test Cases'!$C$5:$C$25,$A20,'Test Cases'!$J$5:$J$25,"Not Started")</x:f>
        <x:v>1</x:v>
      </x:c>
      <x:c r="H20" s="70" t="str">
        <x:v>Not Applicable</x:v>
      </x:c>
      <x:c r="I20" s="70" t="str">
        <x:v>Not present or not in scope; justify in Notes</x:v>
      </x:c>
      <x:c r="J20" s="70" t="str"/>
    </x:row>
    <x:row r="21" ht="22" customHeight="1">
      <x:c r="A21" s="68" t="str">
        <x:v>Configuration &amp; Secrets</x:v>
      </x:c>
      <x:c r="B21" s="68" t="n">
        <x:f>COUNTIF('Test Cases'!$C$5:$C$25,A21)</x:f>
        <x:v>3</x:v>
      </x:c>
      <x:c r="C21" s="68" t="n">
        <x:f>COUNTIFS('Test Cases'!$C$5:$C$25,$A21,'Test Cases'!$J$5:$J$25,"Passed")</x:f>
        <x:v>0</x:v>
      </x:c>
      <x:c r="D21" s="68" t="n">
        <x:f>COUNTIFS('Test Cases'!$C$5:$C$25,$A21,'Test Cases'!$J$5:$J$25,"Failed")</x:f>
        <x:v>0</x:v>
      </x:c>
      <x:c r="E21" s="68" t="n">
        <x:f>COUNTIFS('Test Cases'!$C$5:$C$25,$A21,'Test Cases'!$J$5:$J$25,"Blocked")</x:f>
        <x:v>0</x:v>
      </x:c>
      <x:c r="F21" s="68" t="n">
        <x:f>COUNTIFS('Test Cases'!$C$5:$C$25,$A21,'Test Cases'!$J$5:$J$25,"Not Started")</x:f>
        <x:v>3</x:v>
      </x:c>
    </x:row>
    <x:row r="22" ht="22" customHeight="1">
      <x:c r="A22" s="70" t="str">
        <x:v>Operations &amp; Logging</x:v>
      </x:c>
      <x:c r="B22" s="70" t="n">
        <x:f>COUNTIF('Test Cases'!$C$5:$C$25,A22)</x:f>
        <x:v>2</x:v>
      </x:c>
      <x:c r="C22" s="70" t="n">
        <x:f>COUNTIFS('Test Cases'!$C$5:$C$25,$A22,'Test Cases'!$J$5:$J$25,"Passed")</x:f>
        <x:v>0</x:v>
      </x:c>
      <x:c r="D22" s="70" t="n">
        <x:f>COUNTIFS('Test Cases'!$C$5:$C$25,$A22,'Test Cases'!$J$5:$J$25,"Failed")</x:f>
        <x:v>0</x:v>
      </x:c>
      <x:c r="E22" s="70" t="n">
        <x:f>COUNTIFS('Test Cases'!$C$5:$C$25,$A22,'Test Cases'!$J$5:$J$25,"Blocked")</x:f>
        <x:v>0</x:v>
      </x:c>
      <x:c r="F22" s="70" t="n">
        <x:f>COUNTIFS('Test Cases'!$C$5:$C$25,$A22,'Test Cases'!$J$5:$J$25,"Not Started")</x:f>
        <x:v>2</x:v>
      </x:c>
      <x:c r="H22" s="74" t="str">
        <x:v>SAFETY RULE</x:v>
      </x:c>
      <x:c r="I22" s="74"/>
      <x:c r="J22" s="74"/>
    </x:row>
    <x:row r="23">
      <x:c r="H23" s="81" t="str">
        <x:v>Use approved test identities and test bots only. Do not publish commands to real devices, scan unrelated hosts, or run unapproved load/destructive tests. Stop and notify the owner if a P0 control fails or service health degrades.</x:v>
      </x:c>
      <x:c r="I23" s="81"/>
      <x:c r="J23" s="81"/>
    </x:row>
    <x:row r="24">
      <x:c r="H24" s="81"/>
      <x:c r="I24" s="81"/>
      <x:c r="J24" s="81"/>
    </x:row>
    <x:row r="25">
      <x:c r="H25" s="81"/>
      <x:c r="I25" s="81"/>
      <x:c r="J25" s="81"/>
    </x:row>
    <x:row r="26">
      <x:c r="H26" s="81"/>
      <x:c r="I26" s="81"/>
      <x:c r="J26" s="81"/>
    </x:row>
  </x:sheetData>
  <x:mergeCells>
    <x:mergeCell ref="A1:J1"/>
    <x:mergeCell ref="A2:J2"/>
    <x:mergeCell ref="A3:J3"/>
    <x:mergeCell ref="A5:B5"/>
    <x:mergeCell ref="A6:B7"/>
    <x:mergeCell ref="C5:D5"/>
    <x:mergeCell ref="C6:D7"/>
    <x:mergeCell ref="E5:F5"/>
    <x:mergeCell ref="E6:F7"/>
    <x:mergeCell ref="G5:H5"/>
    <x:mergeCell ref="G6:H7"/>
    <x:mergeCell ref="I5:J5"/>
    <x:mergeCell ref="I6:J7"/>
    <x:mergeCell ref="A9:B9"/>
    <x:mergeCell ref="A10:B10"/>
    <x:mergeCell ref="C9:D9"/>
    <x:mergeCell ref="C10:D10"/>
    <x:mergeCell ref="E9:F9"/>
    <x:mergeCell ref="E10:F10"/>
    <x:mergeCell ref="G9:H9"/>
    <x:mergeCell ref="G10:H10"/>
    <x:mergeCell ref="I9:J9"/>
    <x:mergeCell ref="I10:J10"/>
    <x:mergeCell ref="A13:F13"/>
    <x:mergeCell ref="H13:J13"/>
    <x:mergeCell ref="H22:J22"/>
    <x:mergeCell ref="H23:J26"/>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9" hidden="0" customWidth="1"/>
    <x:col min="3" max="3" width="23" hidden="0" customWidth="1"/>
    <x:col min="4" max="4" width="22" hidden="0" customWidth="1"/>
    <x:col min="5" max="5" width="30" hidden="0" customWidth="1"/>
    <x:col min="6" max="6" width="38" hidden="0" customWidth="1"/>
    <x:col min="7" max="7" width="38" hidden="0" customWidth="1"/>
    <x:col min="8" max="8" width="55" hidden="0" customWidth="1"/>
    <x:col min="9" max="9" width="42" hidden="0" customWidth="1"/>
    <x:col min="10" max="10" width="16" hidden="0" customWidth="1"/>
    <x:col min="11" max="11" width="34" hidden="0" customWidth="1"/>
    <x:col min="12" max="12" width="18" hidden="0" customWidth="1"/>
    <x:col min="13" max="13" width="32" hidden="0" customWidth="1"/>
    <x:col min="14" max="14" width="14" hidden="0" customWidth="1"/>
    <x:col min="15" max="15" width="16" hidden="0" customWidth="1"/>
    <x:col min="16" max="16" width="16" hidden="0" customWidth="1"/>
    <x:col min="17" max="17" width="30" hidden="0" customWidth="1"/>
  </x:cols>
  <x:sheetData>
    <x:row r="1">
      <x:c r="A1" s="6" t="str">
        <x:v>SECURITY TEST CASE REGISTER</x:v>
      </x:c>
      <x:c r="B1" s="6"/>
      <x:c r="C1" s="6"/>
      <x:c r="D1" s="6"/>
      <x:c r="E1" s="6"/>
      <x:c r="F1" s="6"/>
      <x:c r="G1" s="6"/>
      <x:c r="H1" s="6"/>
      <x:c r="I1" s="6"/>
      <x:c r="J1" s="6"/>
      <x:c r="K1" s="6"/>
      <x:c r="L1" s="6"/>
      <x:c r="M1" s="6"/>
      <x:c r="N1" s="6"/>
      <x:c r="O1" s="6"/>
      <x:c r="P1" s="6"/>
      <x:c r="Q1" s="6"/>
    </x:row>
    <x:row r="2" ht="28" customHeight="1">
      <x:c r="A2" s="15" t="str">
        <x:v>21 focused security test cases. Repeated checks have been consolidated; conditional/low-value checks removed. Default status is Not Started.</x:v>
      </x:c>
      <x:c r="B2" s="15"/>
      <x:c r="C2" s="15"/>
      <x:c r="D2" s="15"/>
      <x:c r="E2" s="15"/>
      <x:c r="F2" s="15"/>
      <x:c r="G2" s="15"/>
      <x:c r="H2" s="15"/>
      <x:c r="I2" s="15"/>
      <x:c r="J2" s="15"/>
      <x:c r="K2" s="15"/>
      <x:c r="L2" s="15"/>
      <x:c r="M2" s="15"/>
      <x:c r="N2" s="15"/>
      <x:c r="O2" s="15"/>
      <x:c r="P2" s="15"/>
      <x:c r="Q2" s="15"/>
    </x:row>
    <x:row r="4" ht="32" customHeight="1">
      <x:c r="A4" s="28" t="str">
        <x:v>Test Case ID</x:v>
      </x:c>
      <x:c r="B4" s="28" t="str">
        <x:v>Priority</x:v>
      </x:c>
      <x:c r="C4" s="28" t="str">
        <x:v>Category</x:v>
      </x:c>
      <x:c r="D4" s="28" t="str">
        <x:v>Component</x:v>
      </x:c>
      <x:c r="E4" s="28" t="str">
        <x:v>Scenario</x:v>
      </x:c>
      <x:c r="F4" s="28" t="str">
        <x:v>Objective / Risk</x:v>
      </x:c>
      <x:c r="G4" s="28" t="str">
        <x:v>Preconditions</x:v>
      </x:c>
      <x:c r="H4" s="28" t="str">
        <x:v>Test Steps</x:v>
      </x:c>
      <x:c r="I4" s="28" t="str">
        <x:v>Expected Result</x:v>
      </x:c>
      <x:c r="J4" s="28" t="str">
        <x:v>Status</x:v>
      </x:c>
      <x:c r="K4" s="28" t="str">
        <x:v>Actual Result</x:v>
      </x:c>
      <x:c r="L4" s="28" t="str">
        <x:v>Finding Severity</x:v>
      </x:c>
      <x:c r="M4" s="28" t="str">
        <x:v>Evidence / Link</x:v>
      </x:c>
      <x:c r="N4" s="28" t="str">
        <x:v>Defect ID</x:v>
      </x:c>
      <x:c r="O4" s="28" t="str">
        <x:v>Tester</x:v>
      </x:c>
      <x:c r="P4" s="28" t="str">
        <x:v>Execution Date</x:v>
      </x:c>
      <x:c r="Q4" s="28" t="str">
        <x:v>Notes</x:v>
      </x:c>
    </x:row>
    <x:row r="5" ht="88" customHeight="1">
      <x:c r="A5" s="86" t="str">
        <x:v>NET-01</x:v>
      </x:c>
      <x:c r="B5" s="86" t="str">
        <x:v>P0</x:v>
      </x:c>
      <x:c r="C5" s="86" t="str">
        <x:v>Network &amp; Tailscale</x:v>
      </x:c>
      <x:c r="D5" s="86" t="str">
        <x:v>Network access</x:v>
      </x:c>
      <x:c r="E5" s="86" t="str">
        <x:v>Authorized vs unauthorized device boundary</x:v>
      </x:c>
      <x:c r="F5" s="86" t="str">
        <x:v>Verify an approved Tailscale device can reach intended application services while an unauthorized device cannot reach protected services.</x:v>
      </x:c>
      <x:c r="G5" s="86" t="str">
        <x:v>Approved tester device, an approved unauthorized/non-member test identity, exact hostname, and approved test endpoints are available. The exposure topology is confirmed.</x:v>
      </x:c>
      <x:c r="H5" s="86" t="str">
        <x:v>1. From the approved Tailscale device, open the documented UI and call a safe health/read-only API endpoint.
2. From the approved unauthorized test device, attempt only the same documented hostname and endpoints.
3. Record each outcome and any returned metadata.
4. Confirm no protected data is returned to the unauthorized identity.</x:v>
      </x:c>
      <x:c r="I5" s="86" t="str">
        <x:v>Approved access works as designed; unauthorized access is denied at the intended boundary without protected data disclosure.</x:v>
      </x:c>
      <x:c r="J5" s="86" t="str">
        <x:v>Not Started</x:v>
      </x:c>
      <x:c r="K5" s="86"/>
      <x:c r="L5" s="86"/>
      <x:c r="M5" s="86"/>
      <x:c r="N5" s="86"/>
      <x:c r="O5" s="86"/>
      <x:c r="P5" s="88"/>
      <x:c r="Q5" s="86"/>
    </x:row>
    <x:row r="6" ht="88" customHeight="1">
      <x:c r="A6" s="86" t="str">
        <x:v>NET-02</x:v>
      </x:c>
      <x:c r="B6" s="86" t="str">
        <x:v>P0</x:v>
      </x:c>
      <x:c r="C6" s="86" t="str">
        <x:v>Network &amp; Tailscale</x:v>
      </x:c>
      <x:c r="D6" s="86" t="str">
        <x:v>Tailscale policy</x:v>
      </x:c>
      <x:c r="E6" s="86" t="str">
        <x:v>Tailnet least privilege</x:v>
      </x:c>
      <x:c r="F6" s="86" t="str">
        <x:v>Verify that tailnet identities can reach only the services and ports assigned by the approved access policy.</x:v>
      </x:c>
      <x:c r="G6" s="86" t="str">
        <x:v>Current Tailscale Grants/ACL policy and the expected device-to-service access matrix are available.</x:v>
      </x:c>
      <x:c r="H6" s="86" t="str">
        <x:v>1. Review the Tailscale policy against the approved access matrix.
2. From a test device, attempt to reach a documented service outside that device's permitted set.
3. Compare the outcome with policy and record any overly broad access rule.</x:v>
      </x:c>
      <x:c r="I6" s="86" t="str">
        <x:v>Only intended identities can reach the specific destination services and ports permitted by policy.</x:v>
      </x:c>
      <x:c r="J6" s="86" t="str">
        <x:v>Not Started</x:v>
      </x:c>
      <x:c r="K6" s="86"/>
      <x:c r="L6" s="86"/>
      <x:c r="M6" s="86"/>
      <x:c r="N6" s="86"/>
      <x:c r="O6" s="86"/>
      <x:c r="P6" s="88"/>
      <x:c r="Q6" s="86"/>
    </x:row>
    <x:row r="7" ht="88" customHeight="1">
      <x:c r="A7" s="86" t="str">
        <x:v>NET-03</x:v>
      </x:c>
      <x:c r="B7" s="86" t="str">
        <x:v>P0</x:v>
      </x:c>
      <x:c r="C7" s="86" t="str">
        <x:v>Network &amp; Tailscale</x:v>
      </x:c>
      <x:c r="D7" s="86" t="str">
        <x:v>External exposure</x:v>
      </x:c>
      <x:c r="E7" s="86" t="str">
        <x:v>Unintended public service exposure</x:v>
      </x:c>
      <x:c r="F7" s="86" t="str">
        <x:v>Confirm private application, MQTT, video, and management services are not unintentionally exposed outside the intended access boundary.</x:v>
      </x:c>
      <x:c r="G7" s="86" t="str">
        <x:v>Owner confirms whether the hostname uses Tailscale Serve, Funnel, a reverse proxy, or another exposure route. An approved external test vantage point is available.</x:v>
      </x:c>
      <x:c r="H7" s="86" t="str">
        <x:v>1. Confirm the exposure method and approved target hostname with the owner.
2. From the approved external vantage point, test only the named host and approved service endpoints.
3. Check relevant HTTPS/API, MQTT/WSS, RTSP, WebRTC/WHEP, and management endpoints where applicable.
4. Do not perform broad scanning; record only reachability and sanitized response details.</x:v>
      </x:c>
      <x:c r="I7" s="86" t="str">
        <x:v>No unintended public access exists to private admin/API, MQTT, RTSP, WebRTC, or management interfaces.</x:v>
      </x:c>
      <x:c r="J7" s="86" t="str">
        <x:v>Not Started</x:v>
      </x:c>
      <x:c r="K7" s="86"/>
      <x:c r="L7" s="86"/>
      <x:c r="M7" s="86"/>
      <x:c r="N7" s="86"/>
      <x:c r="O7" s="86"/>
      <x:c r="P7" s="88"/>
      <x:c r="Q7" s="86"/>
    </x:row>
    <x:row r="8" ht="88" customHeight="1">
      <x:c r="A8" s="86" t="str">
        <x:v>AUTH-01</x:v>
      </x:c>
      <x:c r="B8" s="86" t="str">
        <x:v>P0</x:v>
      </x:c>
      <x:c r="C8" s="86" t="str">
        <x:v>Authentication</x:v>
      </x:c>
      <x:c r="D8" s="86" t="str">
        <x:v>Login</x:v>
      </x:c>
      <x:c r="E8" s="86" t="str">
        <x:v>Valid and invalid login</x:v>
      </x:c>
      <x:c r="F8" s="86" t="str">
        <x:v>Verify login success and safe handling of incorrect, missing, or unknown credentials.</x:v>
      </x:c>
      <x:c r="G8" s="86" t="str">
        <x:v>Dedicated test accounts are available; they do not use real production-user credentials.</x:v>
      </x:c>
      <x:c r="H8" s="86" t="str">
        <x:v>1. Log in with a valid test account.
2. Repeat with an incorrect password.
3. Try a nonexistent test username and empty fields.
4. Compare outcome and error detail; redact credentials from evidence.</x:v>
      </x:c>
      <x:c r="I8" s="86" t="str">
        <x:v>Valid login follows the intended flow; failed login attempts disclose no secrets or excessive account details.</x:v>
      </x:c>
      <x:c r="J8" s="86" t="str">
        <x:v>Not Started</x:v>
      </x:c>
      <x:c r="K8" s="86"/>
      <x:c r="L8" s="86"/>
      <x:c r="M8" s="86"/>
      <x:c r="N8" s="86"/>
      <x:c r="O8" s="86"/>
      <x:c r="P8" s="88"/>
      <x:c r="Q8" s="86"/>
    </x:row>
    <x:row r="9" ht="88" customHeight="1">
      <x:c r="A9" s="86" t="str">
        <x:v>AUTH-02</x:v>
      </x:c>
      <x:c r="B9" s="86" t="str">
        <x:v>P0</x:v>
      </x:c>
      <x:c r="C9" s="86" t="str">
        <x:v>Authentication</x:v>
      </x:c>
      <x:c r="D9" s="86" t="str">
        <x:v>Protected API access</x:v>
      </x:c>
      <x:c r="E9" s="86" t="str">
        <x:v>Missing, invalid, or expired token</x:v>
      </x:c>
      <x:c r="F9" s="86" t="str">
        <x:v>Verify protected endpoints require a valid authenticated session/token and reject invalid or expired credentials.</x:v>
      </x:c>
      <x:c r="G9" s="86" t="str">
        <x:v>Representative protected read-only endpoint(s) and a safe test token/session are available; expiry behavior is understood.</x:v>
      </x:c>
      <x:c r="H9" s="86" t="str">
        <x:v>1. Call a protected endpoint without authentication.
2. Repeat with an empty or malformed authorization header.
3. Use an invalid token and an expired test token if supported.
4. Confirm each attempt is rejected and no protected data/state is returned or changed.</x:v>
      </x:c>
      <x:c r="I9" s="86" t="str">
        <x:v>Unauthenticated or invalid sessions are rejected (normally 401/403); no authorization bypass or protected data exposure occurs.</x:v>
      </x:c>
      <x:c r="J9" s="86" t="str">
        <x:v>Not Started</x:v>
      </x:c>
      <x:c r="K9" s="86"/>
      <x:c r="L9" s="86"/>
      <x:c r="M9" s="86"/>
      <x:c r="N9" s="86"/>
      <x:c r="O9" s="86"/>
      <x:c r="P9" s="88"/>
      <x:c r="Q9" s="86"/>
    </x:row>
    <x:row r="10" ht="88" customHeight="1">
      <x:c r="A10" s="86" t="str">
        <x:v>AUTHZ-01</x:v>
      </x:c>
      <x:c r="B10" s="86" t="str">
        <x:v>P0</x:v>
      </x:c>
      <x:c r="C10" s="86" t="str">
        <x:v>Authorization</x:v>
      </x:c>
      <x:c r="D10" s="86" t="str">
        <x:v>Role enforcement</x:v>
      </x:c>
      <x:c r="E10" s="86" t="str">
        <x:v>Server-side admin authorization</x:v>
      </x:c>
      <x:c r="F10" s="86" t="str">
        <x:v>Verify admin-only operations are protected by backend authorization, not just frontend visibility.</x:v>
      </x:c>
      <x:c r="G10" s="86" t="str">
        <x:v>A restricted/low-privilege test account and an approved admin-only endpoint are available.</x:v>
      </x:c>
      <x:c r="H10" s="86" t="str">
        <x:v>1. Sign in as the restricted user.
2. Call an admin-only API directly.
3. Try a read-only operation first; use write actions only with reversible test data.
4. Record the response and any relevant audit event.</x:v>
      </x:c>
      <x:c r="I10" s="86" t="str">
        <x:v>The backend denies unauthorized admin actions even when the endpoint is called directly.</x:v>
      </x:c>
      <x:c r="J10" s="86" t="str">
        <x:v>Not Started</x:v>
      </x:c>
      <x:c r="K10" s="86"/>
      <x:c r="L10" s="86"/>
      <x:c r="M10" s="86"/>
      <x:c r="N10" s="86"/>
      <x:c r="O10" s="86"/>
      <x:c r="P10" s="88"/>
      <x:c r="Q10" s="86"/>
    </x:row>
    <x:row r="11" ht="88" customHeight="1">
      <x:c r="A11" s="86" t="str">
        <x:v>AUTHZ-02</x:v>
      </x:c>
      <x:c r="B11" s="86" t="str">
        <x:v>P0</x:v>
      </x:c>
      <x:c r="C11" s="86" t="str">
        <x:v>Authorization</x:v>
      </x:c>
      <x:c r="D11" s="86" t="str">
        <x:v>Bot-level access control</x:v>
      </x:c>
      <x:c r="E11" s="86" t="str">
        <x:v>Cross-bot read and modification isolation</x:v>
      </x:c>
      <x:c r="F11" s="86" t="str">
        <x:v>Verify a client authorized for Bot A cannot read or modify Bot B data by changing VINs or resource identifiers.</x:v>
      </x:c>
      <x:c r="G11" s="86" t="str">
        <x:v>Two test bots with distinct VINs exist. Approved permissions and a reset/rollback process for test data are documented.</x:v>
      </x:c>
      <x:c r="H11" s="86" t="str">
        <x:v>1. As a client permitted for Bot A, request Bot A data as a baseline.
2. Change the VIN/resource ID to Bot B and attempt a read.
3. Using a safe, reversible operation, attempt to update Bot B data.
4. Verify denial and confirm Bot B data is unchanged.</x:v>
      </x:c>
      <x:c r="I11" s="86" t="str">
        <x:v>Unauthorized cross-bot reads and modifications are denied; Bot B data remains unchanged.</x:v>
      </x:c>
      <x:c r="J11" s="86" t="str">
        <x:v>Not Started</x:v>
      </x:c>
      <x:c r="K11" s="86"/>
      <x:c r="L11" s="86"/>
      <x:c r="M11" s="86"/>
      <x:c r="N11" s="86"/>
      <x:c r="O11" s="86"/>
      <x:c r="P11" s="88"/>
      <x:c r="Q11" s="86"/>
    </x:row>
    <x:row r="12" ht="88" customHeight="1">
      <x:c r="A12" s="86" t="str">
        <x:v>AUTHZ-03</x:v>
      </x:c>
      <x:c r="B12" s="86" t="str">
        <x:v>P0</x:v>
      </x:c>
      <x:c r="C12" s="86" t="str">
        <x:v>Authorization</x:v>
      </x:c>
      <x:c r="D12" s="86" t="str">
        <x:v>Privilege escalation</x:v>
      </x:c>
      <x:c r="E12" s="86" t="str">
        <x:v>Role/ownership mass assignment</x:v>
      </x:c>
      <x:c r="F12" s="86" t="str">
        <x:v>Check whether user-controlled request fields can alter roles, ownership, or permissions.</x:v>
      </x:c>
      <x:c r="G12" s="86" t="str">
        <x:v>A safe test update endpoint and disposable test account/resource are available.</x:v>
      </x:c>
      <x:c r="H12" s="86" t="str">
        <x:v>1. Submit a normal permitted update as a baseline.
2. Add unexpected fields such as role, owner, or permissions to the same test payload.
3. Read back the account/resource state.
4. Confirm authorization attributes have not changed.</x:v>
      </x:c>
      <x:c r="I12" s="86" t="str">
        <x:v>Client-controlled fields cannot grant roles or alter ownership/permissions.</x:v>
      </x:c>
      <x:c r="J12" s="86" t="str">
        <x:v>Not Started</x:v>
      </x:c>
      <x:c r="K12" s="86"/>
      <x:c r="L12" s="86"/>
      <x:c r="M12" s="86"/>
      <x:c r="N12" s="86"/>
      <x:c r="O12" s="86"/>
      <x:c r="P12" s="88"/>
      <x:c r="Q12" s="86"/>
    </x:row>
    <x:row r="13" ht="88" customHeight="1">
      <x:c r="A13" s="86" t="str">
        <x:v>MQTT-01</x:v>
      </x:c>
      <x:c r="B13" s="86" t="str">
        <x:v>P0</x:v>
      </x:c>
      <x:c r="C13" s="86" t="str">
        <x:v>MQTT &amp; Telemetry</x:v>
      </x:c>
      <x:c r="D13" s="86" t="str">
        <x:v>Broker authentication</x:v>
      </x:c>
      <x:c r="E13" s="86" t="str">
        <x:v>Invalid or anonymous MQTT connection</x:v>
      </x:c>
      <x:c r="F13" s="86" t="str">
        <x:v>Verify the MQTT/WSS broker rejects invalid credentials and anonymous access where authentication is required.</x:v>
      </x:c>
      <x:c r="G13" s="86" t="str">
        <x:v>Approved broker URL, test username, and harmless test topic are available.</x:v>
      </x:c>
      <x:c r="H13" s="86" t="str">
        <x:v>1. Attempt an MQTT/WSS connection with an incorrect test password.
2. If applicable, try a connection without credentials.
3. Record the connection outcome and relevant sanitized broker logs.
4. Confirm the failed client cannot publish or subscribe.</x:v>
      </x:c>
      <x:c r="I13" s="86" t="str">
        <x:v>Invalid and disallowed anonymous connections are rejected and cannot exchange protected messages.</x:v>
      </x:c>
      <x:c r="J13" s="86" t="str">
        <x:v>Not Started</x:v>
      </x:c>
      <x:c r="K13" s="86"/>
      <x:c r="L13" s="86"/>
      <x:c r="M13" s="86"/>
      <x:c r="N13" s="86"/>
      <x:c r="O13" s="86"/>
      <x:c r="P13" s="88"/>
      <x:c r="Q13" s="86"/>
    </x:row>
    <x:row r="14" ht="88" customHeight="1">
      <x:c r="A14" s="86" t="str">
        <x:v>MQTT-02</x:v>
      </x:c>
      <x:c r="B14" s="86" t="str">
        <x:v>P0</x:v>
      </x:c>
      <x:c r="C14" s="86" t="str">
        <x:v>MQTT &amp; Telemetry</x:v>
      </x:c>
      <x:c r="D14" s="86" t="str">
        <x:v>Topic authorization</x:v>
      </x:c>
      <x:c r="E14" s="86" t="str">
        <x:v>Publish and subscribe topic ACLs</x:v>
      </x:c>
      <x:c r="F14" s="86" t="str">
        <x:v>Verify a client can publish/subscribe only to topics permitted for its identity.</x:v>
      </x:c>
      <x:c r="G14" s="86" t="str">
        <x:v>Two test identities, distinct test topics, and the expected publish/subscribe ACLs are documented. Do not use real-device control topics.</x:v>
      </x:c>
      <x:c r="H14" s="86" t="str">
        <x:v>1. Connect as Bot A using its test credentials and unique client ID.
2. Publish and subscribe on Bot A's allowed test topic as a positive control.
3. Attempt to publish to Bot B's restricted topic.
4. Attempt to subscribe to Bot B's restricted topic and verify no protected messages are received.</x:v>
      </x:c>
      <x:c r="I14" s="86" t="str">
        <x:v>The broker enforces both publish and subscribe ACLs; Bot A cannot write to or read Bot B's protected topics.</x:v>
      </x:c>
      <x:c r="J14" s="86" t="str">
        <x:v>Not Started</x:v>
      </x:c>
      <x:c r="K14" s="86"/>
      <x:c r="L14" s="86"/>
      <x:c r="M14" s="86"/>
      <x:c r="N14" s="86"/>
      <x:c r="O14" s="86"/>
      <x:c r="P14" s="88"/>
      <x:c r="Q14" s="86"/>
    </x:row>
    <x:row r="15" ht="88" customHeight="1">
      <x:c r="A15" s="86" t="str">
        <x:v>MQTT-03</x:v>
      </x:c>
      <x:c r="B15" s="86" t="str">
        <x:v>P0</x:v>
      </x:c>
      <x:c r="C15" s="86" t="str">
        <x:v>MQTT &amp; Telemetry</x:v>
      </x:c>
      <x:c r="D15" s="86" t="str">
        <x:v>Bot identity binding</x:v>
      </x:c>
      <x:c r="E15" s="86" t="str">
        <x:v>VIN spoofing</x:v>
      </x:c>
      <x:c r="F15" s="86" t="str">
        <x:v>Verify the backend binds an authenticated MQTT client to its permitted bot identity rather than trusting a payload VIN.</x:v>
      </x:c>
      <x:c r="G15" s="86" t="str">
        <x:v>Two test VINs and unique MQTT client IDs exist; publishing controlled messages to isolated test topics is approved.</x:v>
      </x:c>
      <x:c r="H15" s="86" t="str">
        <x:v>1. Connect as Bot A with its assigned test identity.
2. Publish a controlled test payload that claims Bot B's VIN.
3. Inspect the backend response, stored telemetry, and UI association.
4. Confirm the spoofed identity is rejected, quarantined, or flagged.</x:v>
      </x:c>
      <x:c r="I15" s="86" t="str">
        <x:v>A client cannot impersonate another bot by changing the VIN in a telemetry payload.</x:v>
      </x:c>
      <x:c r="J15" s="86" t="str">
        <x:v>Not Started</x:v>
      </x:c>
      <x:c r="K15" s="86"/>
      <x:c r="L15" s="86"/>
      <x:c r="M15" s="86"/>
      <x:c r="N15" s="86"/>
      <x:c r="O15" s="86"/>
      <x:c r="P15" s="88"/>
      <x:c r="Q15" s="86"/>
    </x:row>
    <x:row r="16" ht="88" customHeight="1">
      <x:c r="A16" s="86" t="str">
        <x:v>MQTT-04</x:v>
      </x:c>
      <x:c r="B16" s="86" t="str">
        <x:v>P1</x:v>
      </x:c>
      <x:c r="C16" s="86" t="str">
        <x:v>MQTT &amp; Telemetry</x:v>
      </x:c>
      <x:c r="D16" s="86" t="str">
        <x:v>Telemetry validation</x:v>
      </x:c>
      <x:c r="E16" s="86" t="str">
        <x:v>Malformed or oversized telemetry</x:v>
      </x:c>
      <x:c r="F16" s="86" t="str">
        <x:v>Verify malformed or over-limit MQTT payloads are safely rejected without service instability or data corruption.</x:v>
      </x:c>
      <x:c r="G16" s="86" t="str">
        <x:v>Payload schema, maximum size, isolated test topic, and stop conditions are documented.</x:v>
      </x:c>
      <x:c r="H16" s="86" t="str">
        <x:v>1. Send a test message with missing or incorrect fields.
2. Send a payload at the documented limit.
3. If approved, send one safely over-limit payload.
4. Monitor broker/application health and stored test data; stop if service health degrades.</x:v>
      </x:c>
      <x:c r="I16" s="86" t="str">
        <x:v>Invalid or over-limit messages are safely rejected or handled; no crash, sensitive parser detail leak, or persistent data corruption occurs.</x:v>
      </x:c>
      <x:c r="J16" s="86" t="str">
        <x:v>Not Started</x:v>
      </x:c>
      <x:c r="K16" s="86"/>
      <x:c r="L16" s="86"/>
      <x:c r="M16" s="86"/>
      <x:c r="N16" s="86"/>
      <x:c r="O16" s="86"/>
      <x:c r="P16" s="88"/>
      <x:c r="Q16" s="86"/>
    </x:row>
    <x:row r="17" ht="88" customHeight="1">
      <x:c r="A17" s="86" t="str">
        <x:v>VID-01</x:v>
      </x:c>
      <x:c r="B17" s="86" t="str">
        <x:v>P0</x:v>
      </x:c>
      <x:c r="C17" s="86" t="str">
        <x:v>Video Streaming</x:v>
      </x:c>
      <x:c r="D17" s="86" t="str">
        <x:v>Stream access control</x:v>
      </x:c>
      <x:c r="E17" s="86" t="str">
        <x:v>Unauthorized stream and signaling access</x:v>
      </x:c>
      <x:c r="F17" s="86" t="str">
        <x:v>Verify playback and WebRTC/WHEP signaling require the intended network, user, and session authorization.</x:v>
      </x:c>
      <x:c r="G17" s="86" t="str">
        <x:v>Approved non-sensitive test stream, endpoint list, and access policy are documented.</x:v>
      </x:c>
      <x:c r="H17" s="86" t="str">
        <x:v>1. Open the stream with valid test authorization as a positive control.
2. Try the same stream/signaling endpoint without credentials where applicable.
3. Repeat with an unauthorized test identity/device.
4. Record HTTP/signaling outcomes without capturing sensitive video content.</x:v>
      </x:c>
      <x:c r="I17" s="86" t="str">
        <x:v>Unauthorized users/devices cannot establish a working stream where access control is required.</x:v>
      </x:c>
      <x:c r="J17" s="86" t="str">
        <x:v>Not Started</x:v>
      </x:c>
      <x:c r="K17" s="86"/>
      <x:c r="L17" s="86"/>
      <x:c r="M17" s="86"/>
      <x:c r="N17" s="86"/>
      <x:c r="O17" s="86"/>
      <x:c r="P17" s="88"/>
      <x:c r="Q17" s="86"/>
    </x:row>
    <x:row r="18" ht="88" customHeight="1">
      <x:c r="A18" s="86" t="str">
        <x:v>VID-02</x:v>
      </x:c>
      <x:c r="B18" s="86" t="str">
        <x:v>P0</x:v>
      </x:c>
      <x:c r="C18" s="86" t="str">
        <x:v>Video Streaming</x:v>
      </x:c>
      <x:c r="D18" s="86" t="str">
        <x:v>Cross-bot isolation</x:v>
      </x:c>
      <x:c r="E18" s="86" t="str">
        <x:v>Cross-bot video access</x:v>
      </x:c>
      <x:c r="F18" s="86" t="str">
        <x:v>Verify authorization to Bot A's video does not allow access to Bot B's stream.</x:v>
      </x:c>
      <x:c r="G18" s="86" t="str">
        <x:v>Two test bots have distinct stream paths and the viewer-to-stream access policy is known.</x:v>
      </x:c>
      <x:c r="H18" s="86" t="str">
        <x:v>1. Authenticate as a viewer allowed to access Bot A only.
2. Open Bot A's stream as a positive control.
3. Change the stream ID/path to Bot B.
4. Verify Bot B's stream is denied unless access is explicitly granted.</x:v>
      </x:c>
      <x:c r="I18" s="86" t="str">
        <x:v>Bot B's stream is not accessible to a viewer authorized only for Bot A.</x:v>
      </x:c>
      <x:c r="J18" s="86" t="str">
        <x:v>Not Started</x:v>
      </x:c>
      <x:c r="K18" s="86"/>
      <x:c r="L18" s="86"/>
      <x:c r="M18" s="86"/>
      <x:c r="N18" s="86"/>
      <x:c r="O18" s="86"/>
      <x:c r="P18" s="88"/>
      <x:c r="Q18" s="86"/>
    </x:row>
    <x:row r="19" ht="88" customHeight="1">
      <x:c r="A19" s="86" t="str">
        <x:v>VID-03</x:v>
      </x:c>
      <x:c r="B19" s="86" t="str">
        <x:v>P1</x:v>
      </x:c>
      <x:c r="C19" s="86" t="str">
        <x:v>Video Streaming</x:v>
      </x:c>
      <x:c r="D19" s="86" t="str">
        <x:v>Stream credential handling</x:v>
      </x:c>
      <x:c r="E19" s="86" t="str">
        <x:v>Stream URL or token leakage</x:v>
      </x:c>
      <x:c r="F19" s="86" t="str">
        <x:v>Check that reusable stream credentials/tokens are not exposed unnecessarily in browser-visible data, responses, or logs.</x:v>
      </x:c>
      <x:c r="G19" s="86" t="str">
        <x:v>Browser developer tools and sanitized application/proxy logs are available.</x:v>
      </x:c>
      <x:c r="H19" s="86" t="str">
        <x:v>1. Inspect stream URLs, network requests, referrers, browser console, and UI logs.
2. Inspect error responses for credential/token exposure.
3. If a token is visible, verify its scope and whether an unauthorized test viewer can reuse it.
4. Redact sensitive values from evidence.</x:v>
      </x:c>
      <x:c r="I19" s="86" t="str">
        <x:v>Stream credentials/tokens are not unnecessarily exposed; any tokens are appropriately scoped and cannot grant unintended access.</x:v>
      </x:c>
      <x:c r="J19" s="86" t="str">
        <x:v>Not Started</x:v>
      </x:c>
      <x:c r="K19" s="86"/>
      <x:c r="L19" s="86"/>
      <x:c r="M19" s="86"/>
      <x:c r="N19" s="86"/>
      <x:c r="O19" s="86"/>
      <x:c r="P19" s="88"/>
      <x:c r="Q19" s="86"/>
    </x:row>
    <x:row r="20" ht="88" customHeight="1">
      <x:c r="A20" s="86" t="str">
        <x:v>API-01</x:v>
      </x:c>
      <x:c r="B20" s="86" t="str">
        <x:v>P1</x:v>
      </x:c>
      <x:c r="C20" s="86" t="str">
        <x:v>API Security</x:v>
      </x:c>
      <x:c r="D20" s="86" t="str">
        <x:v>Input validation</x:v>
      </x:c>
      <x:c r="E20" s="86" t="str">
        <x:v>Malformed input and injection handling</x:v>
      </x:c>
      <x:c r="F20" s="86" t="str">
        <x:v>Verify malformed requests and common benign injection payloads are handled safely.</x:v>
      </x:c>
      <x:c r="G20" s="86" t="str">
        <x:v>Representative safe endpoints/test records are prepared. Use only non-destructive payloads in the approved environment.</x:v>
      </x:c>
      <x:c r="H20" s="86" t="str">
        <x:v>1. Send malformed JSON, incorrect content type, missing fields, and wrong data types to a safe endpoint.
2. Submit benign SQL-injection-like strings to applicable search/filter fields.
3. Submit a harmless XSS test string to an input rendered by the UI.
4. Verify controlled errors, safe rendering, and no unexpected state changes.</x:v>
      </x:c>
      <x:c r="I20" s="86" t="str">
        <x:v>Invalid input is handled safely; no unauthorized data changes, script execution, stack trace disclosure, or service crash occurs.</x:v>
      </x:c>
      <x:c r="J20" s="86" t="str">
        <x:v>Not Started</x:v>
      </x:c>
      <x:c r="K20" s="86"/>
      <x:c r="L20" s="86"/>
      <x:c r="M20" s="86"/>
      <x:c r="N20" s="86"/>
      <x:c r="O20" s="86"/>
      <x:c r="P20" s="88"/>
      <x:c r="Q20" s="86"/>
    </x:row>
    <x:row r="21" ht="88" customHeight="1">
      <x:c r="A21" s="86" t="str">
        <x:v>CFG-01</x:v>
      </x:c>
      <x:c r="B21" s="86" t="str">
        <x:v>P0</x:v>
      </x:c>
      <x:c r="C21" s="86" t="str">
        <x:v>Configuration &amp; Secrets</x:v>
      </x:c>
      <x:c r="D21" s="86" t="str">
        <x:v>TLS</x:v>
      </x:c>
      <x:c r="E21" s="86" t="str">
        <x:v>TLS certificate validation</x:v>
      </x:c>
      <x:c r="F21" s="86" t="str">
        <x:v>Verify HTTPS/WSS clients validate the certificate chain and hostname.</x:v>
      </x:c>
      <x:c r="G21" s="86" t="str">
        <x:v>Approved hostname and clients/tools are known. Do not use certificate-bypass flags for this test.</x:v>
      </x:c>
      <x:c r="H21" s="86" t="str">
        <x:v>1. Connect using normal certificate verification.
2. Inspect certificate hostname, chain, validity dates, and trust.
3. Confirm browser/API clients show no certificate warning.
4. Record any validation failure and the sanitized certificate details.</x:v>
      </x:c>
      <x:c r="I21" s="86" t="str">
        <x:v>The certificate is valid for the accessed hostname and clients reject invalid certificates.</x:v>
      </x:c>
      <x:c r="J21" s="86" t="str">
        <x:v>Not Started</x:v>
      </x:c>
      <x:c r="K21" s="86"/>
      <x:c r="L21" s="86"/>
      <x:c r="M21" s="86"/>
      <x:c r="N21" s="86"/>
      <x:c r="O21" s="86"/>
      <x:c r="P21" s="88"/>
      <x:c r="Q21" s="86"/>
    </x:row>
    <x:row r="22" ht="88" customHeight="1">
      <x:c r="A22" s="86" t="str">
        <x:v>CFG-02</x:v>
      </x:c>
      <x:c r="B22" s="86" t="str">
        <x:v>P0</x:v>
      </x:c>
      <x:c r="C22" s="86" t="str">
        <x:v>Configuration &amp; Secrets</x:v>
      </x:c>
      <x:c r="D22" s="86" t="str">
        <x:v>Secret management</x:v>
      </x:c>
      <x:c r="E22" s="86" t="str">
        <x:v>Hardcoded or exposed secrets</x:v>
      </x:c>
      <x:c r="F22" s="86" t="str">
        <x:v>Identify credentials or secrets in tracked source/configuration and frontend artifacts.</x:v>
      </x:c>
      <x:c r="G22" s="86" t="str">
        <x:v>Authorized repository and frontend build access is available; suspected secrets will be handled confidentially.</x:v>
      </x:c>
      <x:c r="H22" s="86" t="str">
        <x:v>1. Scan tracked source/config files and build artifacts for secrets.
2. Review environment-file handling, source maps, and frontend bundles where applicable.
3. Verify suspected findings without reproducing secret values in the report.
4. Follow the approved rotation/removal process for any confirmed exposed credential.</x:v>
      </x:c>
      <x:c r="I22" s="86" t="str">
        <x:v>Secrets are not committed or shipped to clients; confirmed exposures are contained and credentials rotated as required.</x:v>
      </x:c>
      <x:c r="J22" s="86" t="str">
        <x:v>Not Started</x:v>
      </x:c>
      <x:c r="K22" s="86"/>
      <x:c r="L22" s="86"/>
      <x:c r="M22" s="86"/>
      <x:c r="N22" s="86"/>
      <x:c r="O22" s="86"/>
      <x:c r="P22" s="88"/>
      <x:c r="Q22" s="86"/>
    </x:row>
    <x:row r="23" ht="88" customHeight="1">
      <x:c r="A23" s="86" t="str">
        <x:v>CFG-03</x:v>
      </x:c>
      <x:c r="B23" s="86" t="str">
        <x:v>P1</x:v>
      </x:c>
      <x:c r="C23" s="86" t="str">
        <x:v>Configuration &amp; Secrets</x:v>
      </x:c>
      <x:c r="D23" s="86" t="str">
        <x:v>Production hardening</x:v>
      </x:c>
      <x:c r="E23" s="86" t="str">
        <x:v>Debug settings, default accounts, CORS, and security headers</x:v>
      </x:c>
      <x:c r="F23" s="86" t="str">
        <x:v>Check high-impact production configuration weaknesses without duplicating the separate TLS and secret-scanning tests.</x:v>
      </x:c>
      <x:c r="G23" s="86" t="str">
        <x:v>Production-like configuration inventory and approved admin access are available; expected frontend origins are documented.</x:v>
      </x:c>
      <x:c r="H23" s="86" t="str">
        <x:v>1. Verify default/test credentials are disabled or changed and debug mode is off.
2. Trigger a controlled error and inspect for stack traces or internal configuration.
3. Inspect CORS behavior for trusted and untrusted origins.
4. Check relevant security headers and that only required interfaces are bound/exposed.</x:v>
      </x:c>
      <x:c r="I23" s="86" t="str">
        <x:v>Production settings are hardened, CORS is restricted to trusted origins, internal details are not exposed, and only required interfaces are available.</x:v>
      </x:c>
      <x:c r="J23" s="86" t="str">
        <x:v>Not Started</x:v>
      </x:c>
      <x:c r="K23" s="86"/>
      <x:c r="L23" s="86"/>
      <x:c r="M23" s="86"/>
      <x:c r="N23" s="86"/>
      <x:c r="O23" s="86"/>
      <x:c r="P23" s="88"/>
      <x:c r="Q23" s="86"/>
    </x:row>
    <x:row r="24" ht="88" customHeight="1">
      <x:c r="A24" s="86" t="str">
        <x:v>OPS-01</x:v>
      </x:c>
      <x:c r="B24" s="86" t="str">
        <x:v>P1</x:v>
      </x:c>
      <x:c r="C24" s="86" t="str">
        <x:v>Operations &amp; Logging</x:v>
      </x:c>
      <x:c r="D24" s="86" t="str">
        <x:v>Rate limiting and recovery</x:v>
      </x:c>
      <x:c r="E24" s="86" t="str">
        <x:v>Controlled throttling and service recovery</x:v>
      </x:c>
      <x:c r="F24" s="86" t="str">
        <x:v>Verify repeated login failures and a small approved burst on a safe API endpoint are controlled without service instability.</x:v>
      </x:c>
      <x:c r="G24" s="86" t="str">
        <x:v>Dedicated test account, safe read-only endpoint, approved rate/attempt count, monitoring, and stop condition are agreed with the owner.</x:v>
      </x:c>
      <x:c r="H24" s="86" t="str">
        <x:v>1. Capture baseline service health and resource usage.
2. Submit the agreed small number of failed logins and a controlled burst to the safe endpoint.
3. Observe throttling, errors, logs, and resource use.
4. Stop if health degrades and verify normal access recovers.</x:v>
      </x:c>
      <x:c r="I24" s="86" t="str">
        <x:v>Excessive requests are throttled or rejected safely; the service remains responsive and recovers without corrupted state.</x:v>
      </x:c>
      <x:c r="J24" s="86" t="str">
        <x:v>Not Started</x:v>
      </x:c>
      <x:c r="K24" s="86"/>
      <x:c r="L24" s="86"/>
      <x:c r="M24" s="86"/>
      <x:c r="N24" s="86"/>
      <x:c r="O24" s="86"/>
      <x:c r="P24" s="88"/>
      <x:c r="Q24" s="86"/>
    </x:row>
    <x:row r="25" ht="88" customHeight="1">
      <x:c r="A25" s="86" t="str">
        <x:v>OPS-02</x:v>
      </x:c>
      <x:c r="B25" s="86" t="str">
        <x:v>P1</x:v>
      </x:c>
      <x:c r="C25" s="86" t="str">
        <x:v>Operations &amp; Logging</x:v>
      </x:c>
      <x:c r="D25" s="86" t="str">
        <x:v>Security audit logging</x:v>
      </x:c>
      <x:c r="E25" s="86" t="str">
        <x:v>Audit event coverage and secret redaction</x:v>
      </x:c>
      <x:c r="F25" s="86" t="str">
        <x:v>Verify security-relevant events are traceable and logs do not store passwords, tokens, or sensitive payloads.</x:v>
      </x:c>
      <x:c r="G25" s="86" t="str">
        <x:v>Read access to sanitized application/proxy/broker logs and test identities is available.</x:v>
      </x:c>
      <x:c r="H25" s="86" t="str">
        <x:v>1. Trigger one failed login, denied API action, denied role action, and MQTT authorization failure using test identities.
2. Locate the related log entries.
3. Check timestamps, actor/source, action, and outcome fields.
4. Confirm secrets and sensitive telemetry/video details are appropriately redacted.</x:v>
      </x:c>
      <x:c r="I25" s="86" t="str">
        <x:v>Security events are traceable and logs do not expose plaintext credentials, tokens, or unnecessary sensitive data.</x:v>
      </x:c>
      <x:c r="J25" s="86" t="str">
        <x:v>Not Started</x:v>
      </x:c>
      <x:c r="K25" s="86"/>
      <x:c r="L25" s="86"/>
      <x:c r="M25" s="86"/>
      <x:c r="N25" s="86"/>
      <x:c r="O25" s="86"/>
      <x:c r="P25" s="88"/>
      <x:c r="Q25" s="86"/>
    </x:row>
    <x:row r="26" ht="88" customHeight="1">
      <x:c r="A26" s="86"/>
      <x:c r="B26" s="86"/>
      <x:c r="C26" s="86"/>
      <x:c r="D26" s="86"/>
      <x:c r="E26" s="86"/>
      <x:c r="F26" s="86"/>
      <x:c r="G26" s="86"/>
      <x:c r="H26" s="86"/>
      <x:c r="I26" s="86"/>
      <x:c r="J26" s="86"/>
      <x:c r="K26" s="86"/>
      <x:c r="L26" s="86"/>
      <x:c r="M26" s="86"/>
      <x:c r="N26" s="86"/>
      <x:c r="O26" s="86"/>
      <x:c r="P26" s="88"/>
      <x:c r="Q26" s="86"/>
    </x:row>
    <x:row r="27" ht="88" customHeight="1">
      <x:c r="A27" s="86"/>
      <x:c r="B27" s="86"/>
      <x:c r="C27" s="86"/>
      <x:c r="D27" s="86"/>
      <x:c r="E27" s="86"/>
      <x:c r="F27" s="86"/>
      <x:c r="G27" s="86"/>
      <x:c r="H27" s="86"/>
      <x:c r="I27" s="86"/>
      <x:c r="J27" s="86"/>
      <x:c r="K27" s="86"/>
      <x:c r="L27" s="86"/>
      <x:c r="M27" s="86"/>
      <x:c r="N27" s="86"/>
      <x:c r="O27" s="86"/>
      <x:c r="P27" s="88"/>
      <x:c r="Q27" s="86"/>
    </x:row>
    <x:row r="28" ht="88" customHeight="1">
      <x:c r="A28" s="86"/>
      <x:c r="B28" s="86"/>
      <x:c r="C28" s="86"/>
      <x:c r="D28" s="86"/>
      <x:c r="E28" s="86"/>
      <x:c r="F28" s="86"/>
      <x:c r="G28" s="86"/>
      <x:c r="H28" s="86"/>
      <x:c r="I28" s="86"/>
      <x:c r="J28" s="86"/>
      <x:c r="K28" s="86"/>
      <x:c r="L28" s="86"/>
      <x:c r="M28" s="86"/>
      <x:c r="N28" s="86"/>
      <x:c r="O28" s="86"/>
      <x:c r="P28" s="88"/>
      <x:c r="Q28" s="86"/>
    </x:row>
    <x:row r="29" ht="88" customHeight="1">
      <x:c r="A29" s="86"/>
      <x:c r="B29" s="86"/>
      <x:c r="C29" s="86"/>
      <x:c r="D29" s="86"/>
      <x:c r="E29" s="86"/>
      <x:c r="F29" s="86"/>
      <x:c r="G29" s="86"/>
      <x:c r="H29" s="86"/>
      <x:c r="I29" s="86"/>
      <x:c r="J29" s="86"/>
      <x:c r="K29" s="86"/>
      <x:c r="L29" s="86"/>
      <x:c r="M29" s="86"/>
      <x:c r="N29" s="86"/>
      <x:c r="O29" s="86"/>
      <x:c r="P29" s="88"/>
      <x:c r="Q29" s="86"/>
    </x:row>
    <x:row r="30" ht="88" customHeight="1">
      <x:c r="A30" s="86"/>
      <x:c r="B30" s="86"/>
      <x:c r="C30" s="86"/>
      <x:c r="D30" s="86"/>
      <x:c r="E30" s="86"/>
      <x:c r="F30" s="86"/>
      <x:c r="G30" s="86"/>
      <x:c r="H30" s="86"/>
      <x:c r="I30" s="86"/>
      <x:c r="J30" s="86"/>
      <x:c r="K30" s="86"/>
      <x:c r="L30" s="86"/>
      <x:c r="M30" s="86"/>
      <x:c r="N30" s="86"/>
      <x:c r="O30" s="86"/>
      <x:c r="P30" s="88"/>
      <x:c r="Q30" s="86"/>
    </x:row>
    <x:row r="31" ht="88" customHeight="1">
      <x:c r="A31" s="86"/>
      <x:c r="B31" s="86"/>
      <x:c r="C31" s="86"/>
      <x:c r="D31" s="86"/>
      <x:c r="E31" s="86"/>
      <x:c r="F31" s="86"/>
      <x:c r="G31" s="86"/>
      <x:c r="H31" s="86"/>
      <x:c r="I31" s="86"/>
      <x:c r="J31" s="86"/>
      <x:c r="K31" s="86"/>
      <x:c r="L31" s="86"/>
      <x:c r="M31" s="86"/>
      <x:c r="N31" s="86"/>
      <x:c r="O31" s="86"/>
      <x:c r="P31" s="88"/>
      <x:c r="Q31" s="86"/>
    </x:row>
    <x:row r="32" ht="88" customHeight="1">
      <x:c r="A32" s="86"/>
      <x:c r="B32" s="86"/>
      <x:c r="C32" s="86"/>
      <x:c r="D32" s="86"/>
      <x:c r="E32" s="86"/>
      <x:c r="F32" s="86"/>
      <x:c r="G32" s="86"/>
      <x:c r="H32" s="86"/>
      <x:c r="I32" s="86"/>
      <x:c r="J32" s="86"/>
      <x:c r="K32" s="86"/>
      <x:c r="L32" s="86"/>
      <x:c r="M32" s="86"/>
      <x:c r="N32" s="86"/>
      <x:c r="O32" s="86"/>
      <x:c r="P32" s="88"/>
      <x:c r="Q32" s="86"/>
    </x:row>
    <x:row r="33" ht="88" customHeight="1">
      <x:c r="A33" s="86"/>
      <x:c r="B33" s="86"/>
      <x:c r="C33" s="86"/>
      <x:c r="D33" s="86"/>
      <x:c r="E33" s="86"/>
      <x:c r="F33" s="86"/>
      <x:c r="G33" s="86"/>
      <x:c r="H33" s="86"/>
      <x:c r="I33" s="86"/>
      <x:c r="J33" s="86"/>
      <x:c r="K33" s="86"/>
      <x:c r="L33" s="86"/>
      <x:c r="M33" s="86"/>
      <x:c r="N33" s="86"/>
      <x:c r="O33" s="86"/>
      <x:c r="P33" s="88"/>
      <x:c r="Q33" s="86"/>
    </x:row>
    <x:row r="34" ht="88" customHeight="1">
      <x:c r="A34" s="86"/>
      <x:c r="B34" s="86"/>
      <x:c r="C34" s="86"/>
      <x:c r="D34" s="86"/>
      <x:c r="E34" s="86"/>
      <x:c r="F34" s="86"/>
      <x:c r="G34" s="86"/>
      <x:c r="H34" s="86"/>
      <x:c r="I34" s="86"/>
      <x:c r="J34" s="86"/>
      <x:c r="K34" s="86"/>
      <x:c r="L34" s="86"/>
      <x:c r="M34" s="86"/>
      <x:c r="N34" s="86"/>
      <x:c r="O34" s="86"/>
      <x:c r="P34" s="88"/>
      <x:c r="Q34" s="86"/>
    </x:row>
    <x:row r="35" ht="88" customHeight="1">
      <x:c r="A35" s="86"/>
      <x:c r="B35" s="86"/>
      <x:c r="C35" s="86"/>
      <x:c r="D35" s="86"/>
      <x:c r="E35" s="86"/>
      <x:c r="F35" s="86"/>
      <x:c r="G35" s="86"/>
      <x:c r="H35" s="86"/>
      <x:c r="I35" s="86"/>
      <x:c r="J35" s="86"/>
      <x:c r="K35" s="86"/>
      <x:c r="L35" s="86"/>
      <x:c r="M35" s="86"/>
      <x:c r="N35" s="86"/>
      <x:c r="O35" s="86"/>
      <x:c r="P35" s="88"/>
      <x:c r="Q35" s="86"/>
    </x:row>
    <x:row r="36" ht="88" customHeight="1">
      <x:c r="A36" s="86"/>
      <x:c r="B36" s="86"/>
      <x:c r="C36" s="86"/>
      <x:c r="D36" s="86"/>
      <x:c r="E36" s="86"/>
      <x:c r="F36" s="86"/>
      <x:c r="G36" s="86"/>
      <x:c r="H36" s="86"/>
      <x:c r="I36" s="86"/>
      <x:c r="J36" s="86"/>
      <x:c r="K36" s="86"/>
      <x:c r="L36" s="86"/>
      <x:c r="M36" s="86"/>
      <x:c r="N36" s="86"/>
      <x:c r="O36" s="86"/>
      <x:c r="P36" s="88"/>
      <x:c r="Q36" s="86"/>
    </x:row>
    <x:row r="37" ht="88" customHeight="1">
      <x:c r="A37" s="86"/>
      <x:c r="B37" s="86"/>
      <x:c r="C37" s="86"/>
      <x:c r="D37" s="86"/>
      <x:c r="E37" s="86"/>
      <x:c r="F37" s="86"/>
      <x:c r="G37" s="86"/>
      <x:c r="H37" s="86"/>
      <x:c r="I37" s="86"/>
      <x:c r="J37" s="86"/>
      <x:c r="K37" s="86"/>
      <x:c r="L37" s="86"/>
      <x:c r="M37" s="86"/>
      <x:c r="N37" s="86"/>
      <x:c r="O37" s="86"/>
      <x:c r="P37" s="88"/>
      <x:c r="Q37" s="86"/>
    </x:row>
    <x:row r="38" ht="88" customHeight="1">
      <x:c r="A38" s="86"/>
      <x:c r="B38" s="86"/>
      <x:c r="C38" s="86"/>
      <x:c r="D38" s="86"/>
      <x:c r="E38" s="86"/>
      <x:c r="F38" s="86"/>
      <x:c r="G38" s="86"/>
      <x:c r="H38" s="86"/>
      <x:c r="I38" s="86"/>
      <x:c r="J38" s="86"/>
      <x:c r="K38" s="86"/>
      <x:c r="L38" s="86"/>
      <x:c r="M38" s="86"/>
      <x:c r="N38" s="86"/>
      <x:c r="O38" s="86"/>
      <x:c r="P38" s="88"/>
      <x:c r="Q38" s="86"/>
    </x:row>
    <x:row r="39" ht="88" customHeight="1">
      <x:c r="A39" s="86"/>
      <x:c r="B39" s="86"/>
      <x:c r="C39" s="86"/>
      <x:c r="D39" s="86"/>
      <x:c r="E39" s="86"/>
      <x:c r="F39" s="86"/>
      <x:c r="G39" s="86"/>
      <x:c r="H39" s="86"/>
      <x:c r="I39" s="86"/>
      <x:c r="J39" s="86"/>
      <x:c r="K39" s="86"/>
      <x:c r="L39" s="86"/>
      <x:c r="M39" s="86"/>
      <x:c r="N39" s="86"/>
      <x:c r="O39" s="86"/>
      <x:c r="P39" s="88"/>
      <x:c r="Q39" s="86"/>
    </x:row>
    <x:row r="40" ht="88" customHeight="1">
      <x:c r="A40" s="86"/>
      <x:c r="B40" s="86"/>
      <x:c r="C40" s="86"/>
      <x:c r="D40" s="86"/>
      <x:c r="E40" s="86"/>
      <x:c r="F40" s="86"/>
      <x:c r="G40" s="86"/>
      <x:c r="H40" s="86"/>
      <x:c r="I40" s="86"/>
      <x:c r="J40" s="86"/>
      <x:c r="K40" s="86"/>
      <x:c r="L40" s="86"/>
      <x:c r="M40" s="86"/>
      <x:c r="N40" s="86"/>
      <x:c r="O40" s="86"/>
      <x:c r="P40" s="88"/>
      <x:c r="Q40" s="86"/>
    </x:row>
    <x:row r="41" ht="88" customHeight="1">
      <x:c r="A41" s="86"/>
      <x:c r="B41" s="86"/>
      <x:c r="C41" s="86"/>
      <x:c r="D41" s="86"/>
      <x:c r="E41" s="86"/>
      <x:c r="F41" s="86"/>
      <x:c r="G41" s="86"/>
      <x:c r="H41" s="86"/>
      <x:c r="I41" s="86"/>
      <x:c r="J41" s="86"/>
      <x:c r="K41" s="86"/>
      <x:c r="L41" s="86"/>
      <x:c r="M41" s="86"/>
      <x:c r="N41" s="86"/>
      <x:c r="O41" s="86"/>
      <x:c r="P41" s="88"/>
      <x:c r="Q41" s="86"/>
    </x:row>
    <x:row r="42" ht="88" customHeight="1">
      <x:c r="A42" s="90"/>
      <x:c r="B42" s="90"/>
      <x:c r="C42" s="90"/>
      <x:c r="D42" s="90"/>
      <x:c r="E42" s="90"/>
      <x:c r="F42" s="90"/>
      <x:c r="G42" s="90"/>
      <x:c r="H42" s="90"/>
      <x:c r="I42" s="90"/>
      <x:c r="J42" s="90"/>
      <x:c r="K42" s="90"/>
      <x:c r="L42" s="90"/>
      <x:c r="M42" s="90"/>
      <x:c r="N42" s="90"/>
      <x:c r="O42" s="90"/>
      <x:c r="P42" s="91"/>
      <x:c r="Q42" s="90"/>
    </x:row>
  </x:sheetData>
  <x:mergeCells>
    <x:mergeCell ref="A1:Q1"/>
    <x:mergeCell ref="A2:Q2"/>
  </x:mergeCells>
  <x:conditionalFormatting sqref="B5:B42">
    <x:cfRule type="expression" dxfId="0" priority="1">
      <x:formula>B5="P0"</x:formula>
    </x:cfRule>
    <x:cfRule type="expression" dxfId="1" priority="2">
      <x:formula>B5="P1"</x:formula>
    </x:cfRule>
  </x:conditionalFormatting>
  <x:conditionalFormatting sqref="J5:J42">
    <x:cfRule type="expression" dxfId="2" priority="3">
      <x:formula>J5="Passed"</x:formula>
    </x:cfRule>
    <x:cfRule type="expression" dxfId="3" priority="4">
      <x:formula>J5="Failed"</x:formula>
    </x:cfRule>
    <x:cfRule type="expression" dxfId="4" priority="5">
      <x:formula>J5="Blocked"</x:formula>
    </x:cfRule>
    <x:cfRule type="expression" dxfId="5" priority="6">
      <x:formula>J5="In Progress"</x:formula>
    </x:cfRule>
  </x:conditionalFormatting>
  <x:dataValidations count="3">
    <x:dataValidation type="list" sqref="B5:B42">
      <x:formula1>"P0,P1,P2"</x:formula1>
    </x:dataValidation>
    <x:dataValidation type="list" sqref="J5:J42">
      <x:formula1>"Not Started,In Progress,Passed,Failed,Blocked,Needs Review,Not Applicable"</x:formula1>
    </x:dataValidation>
    <x:dataValidation type="list" sqref="L5:L42">
      <x:formula1>"Critical,High,Medium,Low,Informational,None"</x:formula1>
    </x:dataValidation>
  </x:dataValidations>
  <x:pageMargins left="0.7" right="0.7" top="0.75" bottom="0.75" header="0.3" footer="0.3"/>
  <x:tableParts count="1">
    <x:tablePart xmlns:r="http://schemas.openxmlformats.org/officeDocument/2006/relationships" r:id="R0793d1fd0445415d"/>
  </x:tableParts>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22" hidden="0" customWidth="1"/>
    <x:col min="3" max="3" width="72" hidden="0" customWidth="1"/>
    <x:col min="4" max="4" width="20" hidden="0" customWidth="1"/>
    <x:col min="5" max="5" width="42" hidden="0" customWidth="1"/>
    <x:col min="6" max="6" width="20" hidden="0" customWidth="1"/>
  </x:cols>
  <x:sheetData>
    <x:row r="1">
      <x:c r="A1" s="6" t="str">
        <x:v>ENVIRONMENT READINESS &amp; SAFE-TEST CHECKLIST</x:v>
      </x:c>
      <x:c r="B1" s="6"/>
      <x:c r="C1" s="6"/>
      <x:c r="D1" s="6"/>
      <x:c r="E1" s="6"/>
      <x:c r="F1" s="6"/>
    </x:row>
    <x:row r="2" ht="30" customHeight="1">
      <x:c r="A2" s="14" t="str">
        <x:v>Complete this checklist before running security cases. If a prerequisite is not met, mark the relevant test Blocked instead of assuming it passed.</x:v>
      </x:c>
      <x:c r="B2" s="14"/>
      <x:c r="C2" s="14"/>
      <x:c r="D2" s="14"/>
      <x:c r="E2" s="14"/>
      <x:c r="F2" s="14"/>
    </x:row>
    <x:row r="4" ht="32" customHeight="1">
      <x:c r="A4" s="28" t="str">
        <x:v>ID</x:v>
      </x:c>
      <x:c r="B4" s="28" t="str">
        <x:v>Area</x:v>
      </x:c>
      <x:c r="C4" s="28" t="str">
        <x:v>Readiness / Safety Check</x:v>
      </x:c>
      <x:c r="D4" s="28" t="str">
        <x:v>Completion Status</x:v>
      </x:c>
      <x:c r="E4" s="28" t="str">
        <x:v>Evidence / Notes</x:v>
      </x:c>
      <x:c r="F4" s="28" t="str">
        <x:v>Owner</x:v>
      </x:c>
    </x:row>
    <x:row r="5" ht="44" customHeight="1">
      <x:c r="A5" s="86" t="str">
        <x:v>SET-01</x:v>
      </x:c>
      <x:c r="B5" s="86" t="str">
        <x:v>Authorization</x:v>
      </x:c>
      <x:c r="C5" s="86" t="str">
        <x:v>Written approval, scope, target hostnames, and permitted test window are confirmed.</x:v>
      </x:c>
      <x:c r="D5" s="86" t="str">
        <x:v>Not Started</x:v>
      </x:c>
      <x:c r="E5" s="86" t="str"/>
      <x:c r="F5" s="86" t="str"/>
    </x:row>
    <x:row r="6" ht="44" customHeight="1">
      <x:c r="A6" s="86" t="str">
        <x:v>SET-02</x:v>
      </x:c>
      <x:c r="B6" s="86" t="str">
        <x:v>Environment</x:v>
      </x:c>
      <x:c r="C6" s="86" t="str">
        <x:v>Use a dedicated test or approved staging environment where possible; record any production constraints.</x:v>
      </x:c>
      <x:c r="D6" s="86" t="str">
        <x:v>Not Started</x:v>
      </x:c>
      <x:c r="E6" s="86" t="str"/>
      <x:c r="F6" s="86" t="str"/>
    </x:row>
    <x:row r="7" ht="44" customHeight="1">
      <x:c r="A7" s="86" t="str">
        <x:v>SET-03</x:v>
      </x:c>
      <x:c r="B7" s="86" t="str">
        <x:v>Topology</x:v>
      </x:c>
      <x:c r="C7" s="86" t="str">
        <x:v>Confirm whether the hostname uses Tailscale Serve, Funnel, a reverse proxy, or another exposure route.</x:v>
      </x:c>
      <x:c r="D7" s="86" t="str">
        <x:v>Not Started</x:v>
      </x:c>
      <x:c r="E7" s="86" t="str"/>
      <x:c r="F7" s="86" t="str"/>
    </x:row>
    <x:row r="8" ht="44" customHeight="1">
      <x:c r="A8" s="86" t="str">
        <x:v>SET-04</x:v>
      </x:c>
      <x:c r="B8" s="86" t="str">
        <x:v>Network scope</x:v>
      </x:c>
      <x:c r="C8" s="86" t="str">
        <x:v>Record exact approved hostname, ports, protocols, and known service endpoints; do not scan unrelated hosts.</x:v>
      </x:c>
      <x:c r="D8" s="86" t="str">
        <x:v>Not Started</x:v>
      </x:c>
      <x:c r="E8" s="86" t="str"/>
      <x:c r="F8" s="86" t="str"/>
    </x:row>
    <x:row r="9" ht="44" customHeight="1">
      <x:c r="A9" s="86" t="str">
        <x:v>SET-05</x:v>
      </x:c>
      <x:c r="B9" s="86" t="str">
        <x:v>Tailscale identities</x:v>
      </x:c>
      <x:c r="C9" s="86" t="str">
        <x:v>Identify authorized tester device/account and approved unauthorized test identity/device for negative tests.</x:v>
      </x:c>
      <x:c r="D9" s="86" t="str">
        <x:v>Not Started</x:v>
      </x:c>
      <x:c r="E9" s="86" t="str"/>
      <x:c r="F9" s="86" t="str"/>
    </x:row>
    <x:row r="10" ht="44" customHeight="1">
      <x:c r="A10" s="86" t="str">
        <x:v>SET-06</x:v>
      </x:c>
      <x:c r="B10" s="86" t="str">
        <x:v>Accounts and roles</x:v>
      </x:c>
      <x:c r="C10" s="86" t="str">
        <x:v>Prepare dedicated admin and low-privilege accounts; confirm role expectations and recovery/reset process.</x:v>
      </x:c>
      <x:c r="D10" s="86" t="str">
        <x:v>Not Started</x:v>
      </x:c>
      <x:c r="E10" s="86" t="str"/>
      <x:c r="F10" s="86" t="str"/>
    </x:row>
    <x:row r="11" ht="44" customHeight="1">
      <x:c r="A11" s="86" t="str">
        <x:v>SET-07</x:v>
      </x:c>
      <x:c r="B11" s="86" t="str">
        <x:v>Bot identities</x:v>
      </x:c>
      <x:c r="C11" s="86" t="str">
        <x:v>Prepare at least two test bots with unique VINs and unique MQTT client IDs; no real fleet identifiers.</x:v>
      </x:c>
      <x:c r="D11" s="86" t="str">
        <x:v>Not Started</x:v>
      </x:c>
      <x:c r="E11" s="86" t="str"/>
      <x:c r="F11" s="86" t="str"/>
    </x:row>
    <x:row r="12" ht="44" customHeight="1">
      <x:c r="A12" s="86" t="str">
        <x:v>SET-08</x:v>
      </x:c>
      <x:c r="B12" s="86" t="str">
        <x:v>MQTT</x:v>
      </x:c>
      <x:c r="C12" s="86" t="str">
        <x:v>Document broker URL, test credentials, allowed topic patterns, expected ACLs, and safe test topics.</x:v>
      </x:c>
      <x:c r="D12" s="86" t="str">
        <x:v>Not Started</x:v>
      </x:c>
      <x:c r="E12" s="86" t="str"/>
      <x:c r="F12" s="86" t="str"/>
    </x:row>
    <x:row r="13" ht="44" customHeight="1">
      <x:c r="A13" s="86" t="str">
        <x:v>SET-09</x:v>
      </x:c>
      <x:c r="B13" s="86" t="str">
        <x:v>Video</x:v>
      </x:c>
      <x:c r="C13" s="86" t="str">
        <x:v>Document Bot A/B test stream paths and expected viewer authorization; use non-sensitive test video.</x:v>
      </x:c>
      <x:c r="D13" s="86" t="str">
        <x:v>Not Started</x:v>
      </x:c>
      <x:c r="E13" s="86" t="str"/>
      <x:c r="F13" s="86" t="str"/>
    </x:row>
    <x:row r="14" ht="44" customHeight="1">
      <x:c r="A14" s="86" t="str">
        <x:v>SET-10</x:v>
      </x:c>
      <x:c r="B14" s="86" t="str">
        <x:v>Logging</x:v>
      </x:c>
      <x:c r="C14" s="86" t="str">
        <x:v>Confirm access to application, proxy, and MQTT logs; synchronize clocks where possible.</x:v>
      </x:c>
      <x:c r="D14" s="86" t="str">
        <x:v>Not Started</x:v>
      </x:c>
      <x:c r="E14" s="86" t="str"/>
      <x:c r="F14" s="86" t="str"/>
    </x:row>
    <x:row r="15" ht="44" customHeight="1">
      <x:c r="A15" s="86" t="str">
        <x:v>SET-11</x:v>
      </x:c>
      <x:c r="B15" s="86" t="str">
        <x:v>Secrets in evidence</x:v>
      </x:c>
      <x:c r="C15" s="86" t="str">
        <x:v>Ensure screenshots/logs will redact passwords, bearer tokens, API keys, private keys, and sensitive video data.</x:v>
      </x:c>
      <x:c r="D15" s="86" t="str">
        <x:v>Not Started</x:v>
      </x:c>
      <x:c r="E15" s="86" t="str"/>
      <x:c r="F15" s="86" t="str"/>
    </x:row>
    <x:row r="16" ht="44" customHeight="1">
      <x:c r="A16" s="86" t="str">
        <x:v>SET-12</x:v>
      </x:c>
      <x:c r="B16" s="86" t="str">
        <x:v>Baseline</x:v>
      </x:c>
      <x:c r="C16" s="86" t="str">
        <x:v>Record app health, bot count, telemetry freshness, active streams, error rate, and CPU/memory baseline.</x:v>
      </x:c>
      <x:c r="D16" s="86" t="str">
        <x:v>Not Started</x:v>
      </x:c>
      <x:c r="E16" s="86" t="str"/>
      <x:c r="F16" s="86" t="str"/>
    </x:row>
    <x:row r="17" ht="44" customHeight="1">
      <x:c r="A17" s="86" t="str">
        <x:v>SET-13</x:v>
      </x:c>
      <x:c r="B17" s="86" t="str">
        <x:v>Limits and stop conditions</x:v>
      </x:c>
      <x:c r="C17" s="86" t="str">
        <x:v>Agree rate limits, payload size limits, resource thresholds, stop conditions, and escalation contact.</x:v>
      </x:c>
      <x:c r="D17" s="86" t="str">
        <x:v>Not Started</x:v>
      </x:c>
      <x:c r="E17" s="86" t="str"/>
      <x:c r="F17" s="86" t="str"/>
    </x:row>
    <x:row r="18" ht="44" customHeight="1">
      <x:c r="A18" s="86" t="str">
        <x:v>SET-14</x:v>
      </x:c>
      <x:c r="B18" s="86" t="str">
        <x:v>Rollback and cleanup</x:v>
      </x:c>
      <x:c r="C18" s="86" t="str">
        <x:v>Confirm how to reset test data, revoke temporary access, remove test credentials, and stop simulators.</x:v>
      </x:c>
      <x:c r="D18" s="86" t="str">
        <x:v>Not Started</x:v>
      </x:c>
      <x:c r="E18" s="86" t="str"/>
      <x:c r="F18" s="86" t="str"/>
    </x:row>
    <x:row r="19" ht="44" customHeight="1">
      <x:c r="A19" s="86" t="str">
        <x:v>SET-15</x:v>
      </x:c>
      <x:c r="B19" s="86" t="str">
        <x:v>Finding workflow</x:v>
      </x:c>
      <x:c r="C19" s="86" t="str">
        <x:v>Agree where findings/evidence are stored, who owns triage, and target response times for P0 failures.</x:v>
      </x:c>
      <x:c r="D19" s="86" t="str">
        <x:v>Not Started</x:v>
      </x:c>
      <x:c r="E19" s="86" t="str"/>
      <x:c r="F19" s="86" t="str"/>
    </x:row>
  </x:sheetData>
  <x:mergeCells>
    <x:mergeCell ref="A1:F1"/>
    <x:mergeCell ref="A2:F2"/>
  </x:mergeCells>
  <x:conditionalFormatting sqref="D5:D19">
    <x:cfRule type="expression" dxfId="6" priority="1">
      <x:formula>D5="Complete"</x:formula>
    </x:cfRule>
    <x:cfRule type="expression" dxfId="7" priority="2">
      <x:formula>D5="Blocked"</x:formula>
    </x:cfRule>
  </x:conditionalFormatting>
  <x:dataValidations count="1">
    <x:dataValidation type="list" sqref="D5:D19">
      <x:formula1>"Not Started,In Progress,Complete,Blocked,Not Applicable"</x:formula1>
    </x:dataValidation>
  </x:dataValidations>
  <x:pageMargins left="0.7" right="0.7" top="0.75" bottom="0.75" header="0.3" footer="0.3"/>
  <x:tableParts count="1">
    <x:tablePart xmlns:r="http://schemas.openxmlformats.org/officeDocument/2006/relationships" r:id="R639b2af4c2654e7c"/>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20" hidden="0" customWidth="1"/>
    <x:col min="3" max="3" width="32" hidden="0" customWidth="1"/>
    <x:col min="4" max="4" width="30" hidden="0" customWidth="1"/>
    <x:col min="5" max="5" width="45" hidden="0" customWidth="1"/>
    <x:col min="6" max="6" width="16" hidden="0" customWidth="1"/>
    <x:col min="7" max="7" width="16" hidden="0" customWidth="1"/>
    <x:col min="8" max="8" width="23" hidden="0" customWidth="1"/>
    <x:col min="9" max="9" width="44" hidden="0" customWidth="1"/>
    <x:col min="10" max="10" width="20" hidden="0" customWidth="1"/>
    <x:col min="11" max="11" width="16" hidden="0" customWidth="1"/>
    <x:col min="12" max="12" width="30" hidden="0" customWidth="1"/>
    <x:col min="13" max="13" width="22" hidden="0" customWidth="1"/>
    <x:col min="14" max="14" width="30" hidden="0" customWidth="1"/>
  </x:cols>
  <x:sheetData>
    <x:row r="1">
      <x:c r="A1" s="6" t="str">
        <x:v>SECURITY FINDINGS &amp; RETEST TRACKER</x:v>
      </x:c>
      <x:c r="B1" s="6"/>
      <x:c r="C1" s="6"/>
      <x:c r="D1" s="6"/>
      <x:c r="E1" s="6"/>
      <x:c r="F1" s="6"/>
      <x:c r="G1" s="6"/>
      <x:c r="H1" s="6"/>
      <x:c r="I1" s="6"/>
      <x:c r="J1" s="6"/>
      <x:c r="K1" s="6"/>
      <x:c r="L1" s="6"/>
      <x:c r="M1" s="6"/>
      <x:c r="N1" s="6"/>
    </x:row>
    <x:row r="2" ht="28" customHeight="1">
      <x:c r="A2" s="14" t="str">
        <x:v>Record confirmed issues only. Use sanitized evidence, assign an owner, and link each finding to one or more Test Case IDs.</x:v>
      </x:c>
      <x:c r="B2" s="14"/>
      <x:c r="C2" s="14"/>
      <x:c r="D2" s="14"/>
      <x:c r="E2" s="14"/>
      <x:c r="F2" s="14"/>
      <x:c r="G2" s="14"/>
      <x:c r="H2" s="14"/>
      <x:c r="I2" s="14"/>
      <x:c r="J2" s="14"/>
      <x:c r="K2" s="14"/>
      <x:c r="L2" s="14"/>
      <x:c r="M2" s="14"/>
      <x:c r="N2" s="14"/>
    </x:row>
    <x:row r="4" ht="32" customHeight="1">
      <x:c r="A4" s="97" t="str">
        <x:v>Finding ID</x:v>
      </x:c>
      <x:c r="B4" s="97" t="str">
        <x:v>Related Test Case ID</x:v>
      </x:c>
      <x:c r="C4" s="97" t="str">
        <x:v>Title</x:v>
      </x:c>
      <x:c r="D4" s="97" t="str">
        <x:v>Affected Component / Endpoint</x:v>
      </x:c>
      <x:c r="E4" s="97" t="str">
        <x:v>Description &amp; Impact</x:v>
      </x:c>
      <x:c r="F4" s="97" t="str">
        <x:v>Severity</x:v>
      </x:c>
      <x:c r="G4" s="97" t="str">
        <x:v>Likelihood</x:v>
      </x:c>
      <x:c r="H4" s="97" t="str">
        <x:v>Status</x:v>
      </x:c>
      <x:c r="I4" s="97" t="str">
        <x:v>Remediation / Recommendation</x:v>
      </x:c>
      <x:c r="J4" s="97" t="str">
        <x:v>Owner</x:v>
      </x:c>
      <x:c r="K4" s="97" t="str">
        <x:v>Target Date</x:v>
      </x:c>
      <x:c r="L4" s="97" t="str">
        <x:v>Evidence Reference</x:v>
      </x:c>
      <x:c r="M4" s="97" t="str">
        <x:v>Retest Result</x:v>
      </x:c>
      <x:c r="N4" s="97" t="str">
        <x:v>Notes</x:v>
      </x:c>
    </x:row>
    <x:row r="5" ht="42" customHeight="1">
      <x:c r="A5" s="86" t="str"/>
      <x:c r="B5" s="86" t="str"/>
      <x:c r="C5" s="86" t="str"/>
      <x:c r="D5" s="86" t="str"/>
      <x:c r="E5" s="86" t="str"/>
      <x:c r="F5" s="86" t="str"/>
      <x:c r="G5" s="86" t="str"/>
      <x:c r="H5" s="86" t="str"/>
      <x:c r="I5" s="86" t="str"/>
      <x:c r="J5" s="86" t="str"/>
      <x:c r="K5" s="88" t="str"/>
      <x:c r="L5" s="86" t="str"/>
      <x:c r="M5" s="86" t="str"/>
      <x:c r="N5" s="86" t="str"/>
    </x:row>
    <x:row r="6" ht="42" customHeight="1">
      <x:c r="A6" s="86" t="str"/>
      <x:c r="B6" s="86" t="str"/>
      <x:c r="C6" s="86" t="str"/>
      <x:c r="D6" s="86" t="str"/>
      <x:c r="E6" s="86" t="str"/>
      <x:c r="F6" s="86" t="str"/>
      <x:c r="G6" s="86" t="str"/>
      <x:c r="H6" s="86" t="str"/>
      <x:c r="I6" s="86" t="str"/>
      <x:c r="J6" s="86" t="str"/>
      <x:c r="K6" s="88" t="str"/>
      <x:c r="L6" s="86" t="str"/>
      <x:c r="M6" s="86" t="str"/>
      <x:c r="N6" s="86" t="str"/>
    </x:row>
    <x:row r="7" ht="42" customHeight="1">
      <x:c r="A7" s="86" t="str"/>
      <x:c r="B7" s="86" t="str"/>
      <x:c r="C7" s="86" t="str"/>
      <x:c r="D7" s="86" t="str"/>
      <x:c r="E7" s="86" t="str"/>
      <x:c r="F7" s="86" t="str"/>
      <x:c r="G7" s="86" t="str"/>
      <x:c r="H7" s="86" t="str"/>
      <x:c r="I7" s="86" t="str"/>
      <x:c r="J7" s="86" t="str"/>
      <x:c r="K7" s="88" t="str"/>
      <x:c r="L7" s="86" t="str"/>
      <x:c r="M7" s="86" t="str"/>
      <x:c r="N7" s="86" t="str"/>
    </x:row>
    <x:row r="8" ht="42" customHeight="1">
      <x:c r="A8" s="86" t="str"/>
      <x:c r="B8" s="86" t="str"/>
      <x:c r="C8" s="86" t="str"/>
      <x:c r="D8" s="86" t="str"/>
      <x:c r="E8" s="86" t="str"/>
      <x:c r="F8" s="86" t="str"/>
      <x:c r="G8" s="86" t="str"/>
      <x:c r="H8" s="86" t="str"/>
      <x:c r="I8" s="86" t="str"/>
      <x:c r="J8" s="86" t="str"/>
      <x:c r="K8" s="88" t="str"/>
      <x:c r="L8" s="86" t="str"/>
      <x:c r="M8" s="86" t="str"/>
      <x:c r="N8" s="86" t="str"/>
    </x:row>
    <x:row r="9" ht="42" customHeight="1">
      <x:c r="A9" s="86" t="str"/>
      <x:c r="B9" s="86" t="str"/>
      <x:c r="C9" s="86" t="str"/>
      <x:c r="D9" s="86" t="str"/>
      <x:c r="E9" s="86" t="str"/>
      <x:c r="F9" s="86" t="str"/>
      <x:c r="G9" s="86" t="str"/>
      <x:c r="H9" s="86" t="str"/>
      <x:c r="I9" s="86" t="str"/>
      <x:c r="J9" s="86" t="str"/>
      <x:c r="K9" s="88" t="str"/>
      <x:c r="L9" s="86" t="str"/>
      <x:c r="M9" s="86" t="str"/>
      <x:c r="N9" s="86" t="str"/>
    </x:row>
    <x:row r="10" ht="42" customHeight="1">
      <x:c r="A10" s="86" t="str"/>
      <x:c r="B10" s="86" t="str"/>
      <x:c r="C10" s="86" t="str"/>
      <x:c r="D10" s="86" t="str"/>
      <x:c r="E10" s="86" t="str"/>
      <x:c r="F10" s="86" t="str"/>
      <x:c r="G10" s="86" t="str"/>
      <x:c r="H10" s="86" t="str"/>
      <x:c r="I10" s="86" t="str"/>
      <x:c r="J10" s="86" t="str"/>
      <x:c r="K10" s="88" t="str"/>
      <x:c r="L10" s="86" t="str"/>
      <x:c r="M10" s="86" t="str"/>
      <x:c r="N10" s="86" t="str"/>
    </x:row>
    <x:row r="11" ht="42" customHeight="1">
      <x:c r="A11" s="86" t="str"/>
      <x:c r="B11" s="86" t="str"/>
      <x:c r="C11" s="86" t="str"/>
      <x:c r="D11" s="86" t="str"/>
      <x:c r="E11" s="86" t="str"/>
      <x:c r="F11" s="86" t="str"/>
      <x:c r="G11" s="86" t="str"/>
      <x:c r="H11" s="86" t="str"/>
      <x:c r="I11" s="86" t="str"/>
      <x:c r="J11" s="86" t="str"/>
      <x:c r="K11" s="88" t="str"/>
      <x:c r="L11" s="86" t="str"/>
      <x:c r="M11" s="86" t="str"/>
      <x:c r="N11" s="86" t="str"/>
    </x:row>
    <x:row r="12" ht="42" customHeight="1">
      <x:c r="A12" s="86" t="str"/>
      <x:c r="B12" s="86" t="str"/>
      <x:c r="C12" s="86" t="str"/>
      <x:c r="D12" s="86" t="str"/>
      <x:c r="E12" s="86" t="str"/>
      <x:c r="F12" s="86" t="str"/>
      <x:c r="G12" s="86" t="str"/>
      <x:c r="H12" s="86" t="str"/>
      <x:c r="I12" s="86" t="str"/>
      <x:c r="J12" s="86" t="str"/>
      <x:c r="K12" s="88" t="str"/>
      <x:c r="L12" s="86" t="str"/>
      <x:c r="M12" s="86" t="str"/>
      <x:c r="N12" s="86" t="str"/>
    </x:row>
    <x:row r="13" ht="42" customHeight="1">
      <x:c r="A13" s="86" t="str"/>
      <x:c r="B13" s="86" t="str"/>
      <x:c r="C13" s="86" t="str"/>
      <x:c r="D13" s="86" t="str"/>
      <x:c r="E13" s="86" t="str"/>
      <x:c r="F13" s="86" t="str"/>
      <x:c r="G13" s="86" t="str"/>
      <x:c r="H13" s="86" t="str"/>
      <x:c r="I13" s="86" t="str"/>
      <x:c r="J13" s="86" t="str"/>
      <x:c r="K13" s="88" t="str"/>
      <x:c r="L13" s="86" t="str"/>
      <x:c r="M13" s="86" t="str"/>
      <x:c r="N13" s="86" t="str"/>
    </x:row>
    <x:row r="14" ht="42" customHeight="1">
      <x:c r="A14" s="86" t="str"/>
      <x:c r="B14" s="86" t="str"/>
      <x:c r="C14" s="86" t="str"/>
      <x:c r="D14" s="86" t="str"/>
      <x:c r="E14" s="86" t="str"/>
      <x:c r="F14" s="86" t="str"/>
      <x:c r="G14" s="86" t="str"/>
      <x:c r="H14" s="86" t="str"/>
      <x:c r="I14" s="86" t="str"/>
      <x:c r="J14" s="86" t="str"/>
      <x:c r="K14" s="88" t="str"/>
      <x:c r="L14" s="86" t="str"/>
      <x:c r="M14" s="86" t="str"/>
      <x:c r="N14" s="86" t="str"/>
    </x:row>
    <x:row r="15" ht="42" customHeight="1">
      <x:c r="A15" s="86" t="str"/>
      <x:c r="B15" s="86" t="str"/>
      <x:c r="C15" s="86" t="str"/>
      <x:c r="D15" s="86" t="str"/>
      <x:c r="E15" s="86" t="str"/>
      <x:c r="F15" s="86" t="str"/>
      <x:c r="G15" s="86" t="str"/>
      <x:c r="H15" s="86" t="str"/>
      <x:c r="I15" s="86" t="str"/>
      <x:c r="J15" s="86" t="str"/>
      <x:c r="K15" s="88" t="str"/>
      <x:c r="L15" s="86" t="str"/>
      <x:c r="M15" s="86" t="str"/>
      <x:c r="N15" s="86" t="str"/>
    </x:row>
    <x:row r="16" ht="42" customHeight="1">
      <x:c r="A16" s="86" t="str"/>
      <x:c r="B16" s="86" t="str"/>
      <x:c r="C16" s="86" t="str"/>
      <x:c r="D16" s="86" t="str"/>
      <x:c r="E16" s="86" t="str"/>
      <x:c r="F16" s="86" t="str"/>
      <x:c r="G16" s="86" t="str"/>
      <x:c r="H16" s="86" t="str"/>
      <x:c r="I16" s="86" t="str"/>
      <x:c r="J16" s="86" t="str"/>
      <x:c r="K16" s="88" t="str"/>
      <x:c r="L16" s="86" t="str"/>
      <x:c r="M16" s="86" t="str"/>
      <x:c r="N16" s="86" t="str"/>
    </x:row>
    <x:row r="17" ht="42" customHeight="1">
      <x:c r="A17" s="86" t="str"/>
      <x:c r="B17" s="86" t="str"/>
      <x:c r="C17" s="86" t="str"/>
      <x:c r="D17" s="86" t="str"/>
      <x:c r="E17" s="86" t="str"/>
      <x:c r="F17" s="86" t="str"/>
      <x:c r="G17" s="86" t="str"/>
      <x:c r="H17" s="86" t="str"/>
      <x:c r="I17" s="86" t="str"/>
      <x:c r="J17" s="86" t="str"/>
      <x:c r="K17" s="88" t="str"/>
      <x:c r="L17" s="86" t="str"/>
      <x:c r="M17" s="86" t="str"/>
      <x:c r="N17" s="86" t="str"/>
    </x:row>
    <x:row r="18" ht="42" customHeight="1">
      <x:c r="A18" s="86" t="str"/>
      <x:c r="B18" s="86" t="str"/>
      <x:c r="C18" s="86" t="str"/>
      <x:c r="D18" s="86" t="str"/>
      <x:c r="E18" s="86" t="str"/>
      <x:c r="F18" s="86" t="str"/>
      <x:c r="G18" s="86" t="str"/>
      <x:c r="H18" s="86" t="str"/>
      <x:c r="I18" s="86" t="str"/>
      <x:c r="J18" s="86" t="str"/>
      <x:c r="K18" s="88" t="str"/>
      <x:c r="L18" s="86" t="str"/>
      <x:c r="M18" s="86" t="str"/>
      <x:c r="N18" s="86" t="str"/>
    </x:row>
    <x:row r="19" ht="42" customHeight="1">
      <x:c r="A19" s="86" t="str"/>
      <x:c r="B19" s="86" t="str"/>
      <x:c r="C19" s="86" t="str"/>
      <x:c r="D19" s="86" t="str"/>
      <x:c r="E19" s="86" t="str"/>
      <x:c r="F19" s="86" t="str"/>
      <x:c r="G19" s="86" t="str"/>
      <x:c r="H19" s="86" t="str"/>
      <x:c r="I19" s="86" t="str"/>
      <x:c r="J19" s="86" t="str"/>
      <x:c r="K19" s="88" t="str"/>
      <x:c r="L19" s="86" t="str"/>
      <x:c r="M19" s="86" t="str"/>
      <x:c r="N19" s="86" t="str"/>
    </x:row>
    <x:row r="20" ht="42" customHeight="1">
      <x:c r="A20" s="86" t="str"/>
      <x:c r="B20" s="86" t="str"/>
      <x:c r="C20" s="86" t="str"/>
      <x:c r="D20" s="86" t="str"/>
      <x:c r="E20" s="86" t="str"/>
      <x:c r="F20" s="86" t="str"/>
      <x:c r="G20" s="86" t="str"/>
      <x:c r="H20" s="86" t="str"/>
      <x:c r="I20" s="86" t="str"/>
      <x:c r="J20" s="86" t="str"/>
      <x:c r="K20" s="88" t="str"/>
      <x:c r="L20" s="86" t="str"/>
      <x:c r="M20" s="86" t="str"/>
      <x:c r="N20" s="86" t="str"/>
    </x:row>
    <x:row r="21" ht="42" customHeight="1">
      <x:c r="A21" s="86" t="str"/>
      <x:c r="B21" s="86" t="str"/>
      <x:c r="C21" s="86" t="str"/>
      <x:c r="D21" s="86" t="str"/>
      <x:c r="E21" s="86" t="str"/>
      <x:c r="F21" s="86" t="str"/>
      <x:c r="G21" s="86" t="str"/>
      <x:c r="H21" s="86" t="str"/>
      <x:c r="I21" s="86" t="str"/>
      <x:c r="J21" s="86" t="str"/>
      <x:c r="K21" s="88" t="str"/>
      <x:c r="L21" s="86" t="str"/>
      <x:c r="M21" s="86" t="str"/>
      <x:c r="N21" s="86" t="str"/>
    </x:row>
    <x:row r="22" ht="42" customHeight="1">
      <x:c r="A22" s="86" t="str"/>
      <x:c r="B22" s="86" t="str"/>
      <x:c r="C22" s="86" t="str"/>
      <x:c r="D22" s="86" t="str"/>
      <x:c r="E22" s="86" t="str"/>
      <x:c r="F22" s="86" t="str"/>
      <x:c r="G22" s="86" t="str"/>
      <x:c r="H22" s="86" t="str"/>
      <x:c r="I22" s="86" t="str"/>
      <x:c r="J22" s="86" t="str"/>
      <x:c r="K22" s="88" t="str"/>
      <x:c r="L22" s="86" t="str"/>
      <x:c r="M22" s="86" t="str"/>
      <x:c r="N22" s="86" t="str"/>
    </x:row>
    <x:row r="23" ht="42" customHeight="1">
      <x:c r="A23" s="86" t="str"/>
      <x:c r="B23" s="86" t="str"/>
      <x:c r="C23" s="86" t="str"/>
      <x:c r="D23" s="86" t="str"/>
      <x:c r="E23" s="86" t="str"/>
      <x:c r="F23" s="86" t="str"/>
      <x:c r="G23" s="86" t="str"/>
      <x:c r="H23" s="86" t="str"/>
      <x:c r="I23" s="86" t="str"/>
      <x:c r="J23" s="86" t="str"/>
      <x:c r="K23" s="88" t="str"/>
      <x:c r="L23" s="86" t="str"/>
      <x:c r="M23" s="86" t="str"/>
      <x:c r="N23" s="86" t="str"/>
    </x:row>
    <x:row r="24" ht="42" customHeight="1">
      <x:c r="A24" s="86" t="str"/>
      <x:c r="B24" s="86" t="str"/>
      <x:c r="C24" s="86" t="str"/>
      <x:c r="D24" s="86" t="str"/>
      <x:c r="E24" s="86" t="str"/>
      <x:c r="F24" s="86" t="str"/>
      <x:c r="G24" s="86" t="str"/>
      <x:c r="H24" s="86" t="str"/>
      <x:c r="I24" s="86" t="str"/>
      <x:c r="J24" s="86" t="str"/>
      <x:c r="K24" s="88" t="str"/>
      <x:c r="L24" s="86" t="str"/>
      <x:c r="M24" s="86" t="str"/>
      <x:c r="N24" s="86" t="str"/>
    </x:row>
    <x:row r="25" ht="42" customHeight="1">
      <x:c r="A25" s="86" t="str"/>
      <x:c r="B25" s="86" t="str"/>
      <x:c r="C25" s="86" t="str"/>
      <x:c r="D25" s="86" t="str"/>
      <x:c r="E25" s="86" t="str"/>
      <x:c r="F25" s="86" t="str"/>
      <x:c r="G25" s="86" t="str"/>
      <x:c r="H25" s="86" t="str"/>
      <x:c r="I25" s="86" t="str"/>
      <x:c r="J25" s="86" t="str"/>
      <x:c r="K25" s="88" t="str"/>
      <x:c r="L25" s="86" t="str"/>
      <x:c r="M25" s="86" t="str"/>
      <x:c r="N25" s="86" t="str"/>
    </x:row>
    <x:row r="26" ht="42" customHeight="1">
      <x:c r="A26" s="86" t="str"/>
      <x:c r="B26" s="86" t="str"/>
      <x:c r="C26" s="86" t="str"/>
      <x:c r="D26" s="86" t="str"/>
      <x:c r="E26" s="86" t="str"/>
      <x:c r="F26" s="86" t="str"/>
      <x:c r="G26" s="86" t="str"/>
      <x:c r="H26" s="86" t="str"/>
      <x:c r="I26" s="86" t="str"/>
      <x:c r="J26" s="86" t="str"/>
      <x:c r="K26" s="88" t="str"/>
      <x:c r="L26" s="86" t="str"/>
      <x:c r="M26" s="86" t="str"/>
      <x:c r="N26" s="86" t="str"/>
    </x:row>
    <x:row r="27" ht="42" customHeight="1">
      <x:c r="A27" s="86" t="str"/>
      <x:c r="B27" s="86" t="str"/>
      <x:c r="C27" s="86" t="str"/>
      <x:c r="D27" s="86" t="str"/>
      <x:c r="E27" s="86" t="str"/>
      <x:c r="F27" s="86" t="str"/>
      <x:c r="G27" s="86" t="str"/>
      <x:c r="H27" s="86" t="str"/>
      <x:c r="I27" s="86" t="str"/>
      <x:c r="J27" s="86" t="str"/>
      <x:c r="K27" s="88" t="str"/>
      <x:c r="L27" s="86" t="str"/>
      <x:c r="M27" s="86" t="str"/>
      <x:c r="N27" s="86" t="str"/>
    </x:row>
    <x:row r="28" ht="42" customHeight="1">
      <x:c r="A28" s="86" t="str"/>
      <x:c r="B28" s="86" t="str"/>
      <x:c r="C28" s="86" t="str"/>
      <x:c r="D28" s="86" t="str"/>
      <x:c r="E28" s="86" t="str"/>
      <x:c r="F28" s="86" t="str"/>
      <x:c r="G28" s="86" t="str"/>
      <x:c r="H28" s="86" t="str"/>
      <x:c r="I28" s="86" t="str"/>
      <x:c r="J28" s="86" t="str"/>
      <x:c r="K28" s="88" t="str"/>
      <x:c r="L28" s="86" t="str"/>
      <x:c r="M28" s="86" t="str"/>
      <x:c r="N28" s="86" t="str"/>
    </x:row>
    <x:row r="29" ht="42" customHeight="1">
      <x:c r="A29" s="86" t="str"/>
      <x:c r="B29" s="86" t="str"/>
      <x:c r="C29" s="86" t="str"/>
      <x:c r="D29" s="86" t="str"/>
      <x:c r="E29" s="86" t="str"/>
      <x:c r="F29" s="86" t="str"/>
      <x:c r="G29" s="86" t="str"/>
      <x:c r="H29" s="86" t="str"/>
      <x:c r="I29" s="86" t="str"/>
      <x:c r="J29" s="86" t="str"/>
      <x:c r="K29" s="88" t="str"/>
      <x:c r="L29" s="86" t="str"/>
      <x:c r="M29" s="86" t="str"/>
      <x:c r="N29" s="86" t="str"/>
    </x:row>
    <x:row r="30" ht="42" customHeight="1">
      <x:c r="A30" s="86" t="str"/>
      <x:c r="B30" s="86" t="str"/>
      <x:c r="C30" s="86" t="str"/>
      <x:c r="D30" s="86" t="str"/>
      <x:c r="E30" s="86" t="str"/>
      <x:c r="F30" s="86" t="str"/>
      <x:c r="G30" s="86" t="str"/>
      <x:c r="H30" s="86" t="str"/>
      <x:c r="I30" s="86" t="str"/>
      <x:c r="J30" s="86" t="str"/>
      <x:c r="K30" s="88" t="str"/>
      <x:c r="L30" s="86" t="str"/>
      <x:c r="M30" s="86" t="str"/>
      <x:c r="N30" s="86" t="str"/>
    </x:row>
    <x:row r="31" ht="42" customHeight="1">
      <x:c r="A31" s="86" t="str"/>
      <x:c r="B31" s="86" t="str"/>
      <x:c r="C31" s="86" t="str"/>
      <x:c r="D31" s="86" t="str"/>
      <x:c r="E31" s="86" t="str"/>
      <x:c r="F31" s="86" t="str"/>
      <x:c r="G31" s="86" t="str"/>
      <x:c r="H31" s="86" t="str"/>
      <x:c r="I31" s="86" t="str"/>
      <x:c r="J31" s="86" t="str"/>
      <x:c r="K31" s="88" t="str"/>
      <x:c r="L31" s="86" t="str"/>
      <x:c r="M31" s="86" t="str"/>
      <x:c r="N31" s="86" t="str"/>
    </x:row>
    <x:row r="32" ht="42" customHeight="1">
      <x:c r="A32" s="86" t="str"/>
      <x:c r="B32" s="86" t="str"/>
      <x:c r="C32" s="86" t="str"/>
      <x:c r="D32" s="86" t="str"/>
      <x:c r="E32" s="86" t="str"/>
      <x:c r="F32" s="86" t="str"/>
      <x:c r="G32" s="86" t="str"/>
      <x:c r="H32" s="86" t="str"/>
      <x:c r="I32" s="86" t="str"/>
      <x:c r="J32" s="86" t="str"/>
      <x:c r="K32" s="88" t="str"/>
      <x:c r="L32" s="86" t="str"/>
      <x:c r="M32" s="86" t="str"/>
      <x:c r="N32" s="86" t="str"/>
    </x:row>
    <x:row r="33" ht="42" customHeight="1">
      <x:c r="A33" s="86" t="str"/>
      <x:c r="B33" s="86" t="str"/>
      <x:c r="C33" s="86" t="str"/>
      <x:c r="D33" s="86" t="str"/>
      <x:c r="E33" s="86" t="str"/>
      <x:c r="F33" s="86" t="str"/>
      <x:c r="G33" s="86" t="str"/>
      <x:c r="H33" s="86" t="str"/>
      <x:c r="I33" s="86" t="str"/>
      <x:c r="J33" s="86" t="str"/>
      <x:c r="K33" s="88" t="str"/>
      <x:c r="L33" s="86" t="str"/>
      <x:c r="M33" s="86" t="str"/>
      <x:c r="N33" s="86" t="str"/>
    </x:row>
    <x:row r="34" ht="42" customHeight="1">
      <x:c r="A34" s="86" t="str"/>
      <x:c r="B34" s="86" t="str"/>
      <x:c r="C34" s="86" t="str"/>
      <x:c r="D34" s="86" t="str"/>
      <x:c r="E34" s="86" t="str"/>
      <x:c r="F34" s="86" t="str"/>
      <x:c r="G34" s="86" t="str"/>
      <x:c r="H34" s="86" t="str"/>
      <x:c r="I34" s="86" t="str"/>
      <x:c r="J34" s="86" t="str"/>
      <x:c r="K34" s="88" t="str"/>
      <x:c r="L34" s="86" t="str"/>
      <x:c r="M34" s="86" t="str"/>
      <x:c r="N34" s="86" t="str"/>
    </x:row>
  </x:sheetData>
  <x:mergeCells>
    <x:mergeCell ref="A1:N1"/>
    <x:mergeCell ref="A2:N2"/>
  </x:mergeCells>
  <x:conditionalFormatting sqref="F5:F34">
    <x:cfRule type="expression" dxfId="8" priority="1">
      <x:formula>F5="Critical"</x:formula>
    </x:cfRule>
    <x:cfRule type="expression" dxfId="9" priority="2">
      <x:formula>F5="High"</x:formula>
    </x:cfRule>
  </x:conditionalFormatting>
  <x:dataValidations count="4">
    <x:dataValidation type="list" sqref="F5:F34">
      <x:formula1>"Critical,High,Medium,Low,Informational"</x:formula1>
    </x:dataValidation>
    <x:dataValidation type="list" sqref="G5:G34">
      <x:formula1>"High,Medium,Low,Unknown"</x:formula1>
    </x:dataValidation>
    <x:dataValidation type="list" sqref="H5:H34">
      <x:formula1>"Open,In Progress,Fixed - Awaiting Retest,Closed - Verified,Risk Accepted,Deferred"</x:formula1>
    </x:dataValidation>
    <x:dataValidation type="list" sqref="M5:M34">
      <x:formula1>"Not Retested,Passed,Failed,Blocked,Not Applicable"</x:formula1>
    </x:dataValidation>
  </x:dataValidations>
  <x:pageMargins left="0.7" right="0.7" top="0.75" bottom="0.75" header="0.3" footer="0.3"/>
  <x:tableParts count="1">
    <x:tablePart xmlns:r="http://schemas.openxmlformats.org/officeDocument/2006/relationships" r:id="R33f18dc4ff9b4945"/>
  </x:tableParts>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62" hidden="0" customWidth="1"/>
    <x:col min="3" max="3" width="78" hidden="0" customWidth="1"/>
  </x:cols>
  <x:sheetData>
    <x:row r="1">
      <x:c r="A1" s="6" t="str">
        <x:v>REFERENCE MATERIAL</x:v>
      </x:c>
      <x:c r="B1" s="6"/>
      <x:c r="C1" s="6"/>
    </x:row>
    <x:row r="2" ht="30" customHeight="1">
      <x:c r="A2" s="14" t="str">
        <x:v>Use these references to align test design with established practices. Verify current guidance and application-specific requirements during execution.</x:v>
      </x:c>
      <x:c r="B2" s="14"/>
      <x:c r="C2" s="14"/>
    </x:row>
    <x:row r="4" ht="32" customHeight="1">
      <x:c r="A4" s="28" t="str">
        <x:v>Reference</x:v>
      </x:c>
      <x:c r="B4" s="28" t="str">
        <x:v>URL</x:v>
      </x:c>
      <x:c r="C4" s="28" t="str">
        <x:v>Relevance to this suite</x:v>
      </x:c>
    </x:row>
    <x:row r="5" ht="43" customHeight="1">
      <x:c r="A5" s="86" t="str">
        <x:v>Tailscale — Access control</x:v>
      </x:c>
      <x:c r="B5" s="86" t="str">
        <x:v>https://tailscale.com/docs/features/access-control</x:v>
      </x:c>
      <x:c r="C5" s="86" t="str">
        <x:v>Review network access, least privilege, Grants/ACLs, and device-to-service permissions.</x:v>
      </x:c>
    </x:row>
    <x:row r="6" ht="43" customHeight="1">
      <x:c r="A6" s="86" t="str">
        <x:v>Tailscale — Grants</x:v>
      </x:c>
      <x:c r="B6" s="86" t="str">
        <x:v>https://tailscale.com/docs/features/access-control/grants</x:v>
      </x:c>
      <x:c r="C6" s="86" t="str">
        <x:v>Reference for grant-based access controls across network/application layers.</x:v>
      </x:c>
    </x:row>
    <x:row r="7" ht="43" customHeight="1">
      <x:c r="A7" s="86" t="str">
        <x:v>Tailscale — Policy syntax</x:v>
      </x:c>
      <x:c r="B7" s="86" t="str">
        <x:v>https://tailscale.com/docs/reference/syntax/policy-file</x:v>
      </x:c>
      <x:c r="C7" s="86" t="str">
        <x:v>Review tailnet policy rules and authorized source/destination identities.</x:v>
      </x:c>
    </x:row>
    <x:row r="8" ht="43" customHeight="1">
      <x:c r="A8" s="86" t="str">
        <x:v>OWASP Web Security Testing Guide</x:v>
      </x:c>
      <x:c r="B8" s="86" t="str">
        <x:v>https://owasp.org/projects/web-security-testing-guide</x:v>
      </x:c>
      <x:c r="C8" s="86" t="str">
        <x:v>Testing methodology for configuration, authentication, authorization, sessions, input validation, and client-side checks.</x:v>
      </x:c>
    </x:row>
    <x:row r="9" ht="43" customHeight="1">
      <x:c r="A9" s="86" t="str">
        <x:v>OWASP WSTG testing sections</x:v>
      </x:c>
      <x:c r="B9" s="86" t="str">
        <x:v>https://wstg.owasp.org/stable/4-Web_Application_Security_Testing/</x:v>
      </x:c>
      <x:c r="C9" s="86" t="str">
        <x:v>Practical web application test categories and guidance.</x:v>
      </x:c>
    </x:row>
    <x:row r="10" ht="43" customHeight="1">
      <x:c r="A10" s="86" t="str">
        <x:v>OWASP API Security Project</x:v>
      </x:c>
      <x:c r="B10" s="86" t="str">
        <x:v>https://owasp.org/www-project-api-security/</x:v>
      </x:c>
      <x:c r="C10" s="86" t="str">
        <x:v>API risk categories including broken object/function authorization, authentication, resource consumption, SSRF, and misconfiguration.</x:v>
      </x:c>
    </x:row>
  </x:sheetData>
  <x:mergeCells>
    <x:mergeCell ref="A1:C1"/>
    <x:mergeCell ref="A2:C2"/>
  </x:mergeCells>
  <x:pageMargins left="0.7" right="0.7" top="0.75" bottom="0.75" header="0.3" footer="0.3"/>
  <x:tableParts count="1">
    <x:tablePart xmlns:r="http://schemas.openxmlformats.org/officeDocument/2006/relationships" r:id="Rff339b4be27b487b"/>
  </x:tableParts>
</x:worksheet>
</file>

<file path=xl/worksheets/sheet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35" hidden="0" customWidth="1"/>
    <x:col min="3" max="3" width="92" hidden="0" customWidth="1"/>
    <x:col min="4" max="4" width="24" hidden="0" customWidth="1"/>
  </x:cols>
  <x:sheetData>
    <x:row r="1">
      <x:c r="A1" s="6" t="str">
        <x:v>HOW TO USE THIS SECURITY TEST SUITE</x:v>
      </x:c>
      <x:c r="B1" s="6"/>
      <x:c r="C1" s="6"/>
      <x:c r="D1" s="6"/>
    </x:row>
    <x:row r="2" ht="28" customHeight="1">
      <x:c r="A2" s="14" t="str">
        <x:v>Working workbook for planning, executing, documenting, and retesting ROSH Control Tower security checks.</x:v>
      </x:c>
      <x:c r="B2" s="14"/>
      <x:c r="C2" s="14"/>
      <x:c r="D2" s="14"/>
    </x:row>
    <x:row r="4" ht="32" customHeight="1">
      <x:c r="A4" s="28" t="str">
        <x:v>Step</x:v>
      </x:c>
      <x:c r="B4" s="28" t="str">
        <x:v>Action</x:v>
      </x:c>
      <x:c r="C4" s="28" t="str">
        <x:v>Guidance</x:v>
      </x:c>
      <x:c r="D4" s="28" t="str">
        <x:v>Workbook location</x:v>
      </x:c>
    </x:row>
    <x:row r="5" ht="40" customHeight="1">
      <x:c r="A5" s="86" t="str">
        <x:v>1</x:v>
      </x:c>
      <x:c r="B5" s="86" t="str">
        <x:v>Confirm scope and safety</x:v>
      </x:c>
      <x:c r="C5" s="86" t="str">
        <x:v>Confirm approved targets, topology, service list, accounts, test window, and stop conditions. Use test bots/topics and do not send commands to real devices.</x:v>
      </x:c>
      <x:c r="D5" s="86" t="str">
        <x:v>Environment &amp; Setup</x:v>
      </x:c>
    </x:row>
    <x:row r="6" ht="40" customHeight="1">
      <x:c r="A6" s="86" t="str">
        <x:v>2</x:v>
      </x:c>
      <x:c r="B6" s="86" t="str">
        <x:v>Review the test case register</x:v>
      </x:c>
      <x:c r="C6" s="86" t="str">
        <x:v>Run P0 cases first. A P0 failure should be triaged before sign-off. If a prerequisite is missing, mark the case Blocked rather than assuming it passed.</x:v>
      </x:c>
      <x:c r="D6" s="86" t="str">
        <x:v>Test Cases</x:v>
      </x:c>
    </x:row>
    <x:row r="7" ht="40" customHeight="1">
      <x:c r="A7" s="86" t="str">
        <x:v>3</x:v>
      </x:c>
      <x:c r="B7" s="86" t="str">
        <x:v>Execute tests and record results</x:v>
      </x:c>
      <x:c r="C7" s="86" t="str">
        <x:v>Update Status, Actual Result, Finding Severity, Evidence / Link, Tester, Execution Date, and Notes. Redact secrets from all evidence.</x:v>
      </x:c>
      <x:c r="D7" s="86" t="str">
        <x:v>Test Cases</x:v>
      </x:c>
    </x:row>
    <x:row r="8" ht="40" customHeight="1">
      <x:c r="A8" s="86" t="str">
        <x:v>4</x:v>
      </x:c>
      <x:c r="B8" s="86" t="str">
        <x:v>Log confirmed findings</x:v>
      </x:c>
      <x:c r="C8" s="86" t="str">
        <x:v>Create a finding for every confirmed issue. Include impact, severity, remediation owner, target date, and evidence reference.</x:v>
      </x:c>
      <x:c r="D8" s="86" t="str">
        <x:v>Findings Log</x:v>
      </x:c>
    </x:row>
    <x:row r="9" ht="40" customHeight="1">
      <x:c r="A9" s="86" t="str">
        <x:v>5</x:v>
      </x:c>
      <x:c r="B9" s="86" t="str">
        <x:v>Retest fixes</x:v>
      </x:c>
      <x:c r="C9" s="86" t="str">
        <x:v>After remediation, rerun the relevant test and update the finding retest result. Close only when verification evidence supports closure.</x:v>
      </x:c>
      <x:c r="D9" s="86" t="str">
        <x:v>Findings Log</x:v>
      </x:c>
    </x:row>
    <x:row r="10" ht="40" customHeight="1">
      <x:c r="A10" s="86" t="str">
        <x:v>6</x:v>
      </x:c>
      <x:c r="B10" s="86" t="str">
        <x:v>Review the dashboard</x:v>
      </x:c>
      <x:c r="C10" s="86" t="str">
        <x:v>Use the Dashboard for status counts and category progress. Formula-based metrics update as test statuses change.</x:v>
      </x:c>
      <x:c r="D10" s="86" t="str">
        <x:v>Dashboard</x:v>
      </x:c>
    </x:row>
    <x:row r="11" ht="40" customHeight="1">
      <x:c r="A11" s="86" t="str">
        <x:v>Status: Passed</x:v>
      </x:c>
      <x:c r="B11" s="86" t="str">
        <x:v>Expected control observed</x:v>
      </x:c>
      <x:c r="C11" s="86" t="str">
        <x:v>Record evidence that supports the expected result.</x:v>
      </x:c>
      <x:c r="D11" s="86" t="str">
        <x:v>Test Cases</x:v>
      </x:c>
    </x:row>
    <x:row r="12" ht="40" customHeight="1">
      <x:c r="A12" s="86" t="str">
        <x:v>Status: Failed</x:v>
      </x:c>
      <x:c r="B12" s="86" t="str">
        <x:v>Unexpected behavior was observed</x:v>
      </x:c>
      <x:c r="C12" s="86" t="str">
        <x:v>Create a Finding Log entry and assign a severity and owner.</x:v>
      </x:c>
      <x:c r="D12" s="86" t="str">
        <x:v>Test Cases</x:v>
      </x:c>
    </x:row>
    <x:row r="13" ht="40" customHeight="1">
      <x:c r="A13" s="86" t="str">
        <x:v>Status: Blocked</x:v>
      </x:c>
      <x:c r="B13" s="86" t="str">
        <x:v>A dependency prevents execution</x:v>
      </x:c>
      <x:c r="C13" s="86" t="str">
        <x:v>Explain the blocker and owner/date needed to unblock the test.</x:v>
      </x:c>
      <x:c r="D13" s="86" t="str">
        <x:v>Test Cases</x:v>
      </x:c>
    </x:row>
    <x:row r="14" ht="40" customHeight="1">
      <x:c r="A14" s="86" t="str">
        <x:v>Status: Needs Review</x:v>
      </x:c>
      <x:c r="B14" s="86" t="str">
        <x:v>Outcome is inconclusive or requires security/owner interpretation</x:v>
      </x:c>
      <x:c r="C14" s="86" t="str">
        <x:v>Do not count this as a pass until reviewed.</x:v>
      </x:c>
      <x:c r="D14" s="86" t="str">
        <x:v>Test Cases</x:v>
      </x:c>
    </x:row>
    <x:row r="15" ht="40" customHeight="1">
      <x:c r="A15" s="86" t="str">
        <x:v>Status: Not Applicable</x:v>
      </x:c>
      <x:c r="B15" s="86" t="str">
        <x:v>Control/feature is not present or test is out of scope</x:v>
      </x:c>
      <x:c r="C15" s="86" t="str">
        <x:v>Explain why in Notes and retain evidence where appropriate.</x:v>
      </x:c>
      <x:c r="D15" s="86" t="str">
        <x:v>Test Cases</x:v>
      </x:c>
    </x:row>
    <x:row r="16" ht="40" customHeight="1">
      <x:c r="A16" s="86" t="str">
        <x:v>Priority P0</x:v>
      </x:c>
      <x:c r="B16" s="86" t="str">
        <x:v>Core access-control/security boundary</x:v>
      </x:c>
      <x:c r="C16" s="86" t="str">
        <x:v>Execute first; failures may block security sign-off pending triage.</x:v>
      </x:c>
      <x:c r="D16" s="86" t="str">
        <x:v>Test Cases</x:v>
      </x:c>
    </x:row>
    <x:row r="17" ht="40" customHeight="1">
      <x:c r="A17" s="86" t="str">
        <x:v>Priority P1</x:v>
      </x:c>
      <x:c r="B17" s="86" t="str">
        <x:v>High-priority hardening, validation, limits, and monitoring</x:v>
      </x:c>
      <x:c r="C17" s="86" t="str">
        <x:v>Execute in planned window and remediate confirmed risk before release where required.</x:v>
      </x:c>
      <x:c r="D17" s="86" t="str">
        <x:v>Test Cases</x:v>
      </x:c>
    </x:row>
  </x:sheetData>
  <x:mergeCells>
    <x:mergeCell ref="A1:D1"/>
    <x:mergeCell ref="A2:D2"/>
  </x:mergeCells>
  <x:pageMargins left="0.7" right="0.7" top="0.75" bottom="0.75" header="0.3" footer="0.3"/>
</x:worksheet>
</file>